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Tracker" sheetId="2" state="visible" r:id="rId4"/>
    <sheet name="Interview Rounds" sheetId="3" state="visible" r:id="rId5"/>
    <sheet name="Story Bank" sheetId="4" state="visible" r:id="rId6"/>
    <sheet name="Status Legend" sheetId="5" state="visible" r:id="rId7"/>
    <sheet name="Platform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<sst xmlns="http://schemas.openxmlformats.org/spreadsheetml/2006/main" count="529" uniqueCount="362">
  <si>
    <t xml:space="preserve">JobPilot — Dashboard</t>
  </si>
  <si>
    <t xml:space="preserve">© 2026 [YOUR NAME] · All rights reserved · 1000Jobs Final Stage submission</t>
  </si>
  <si>
    <t xml:space="preserve">BY STATUS</t>
  </si>
  <si>
    <t xml:space="preserve">HOW TO USE</t>
  </si>
  <si>
    <t xml:space="preserve">Total saved</t>
  </si>
  <si>
    <t xml:space="preserve">1. The agent appends new applications to the Tracker sheet.</t>
  </si>
  <si>
    <t xml:space="preserve">Total applied</t>
  </si>
  <si>
    <t xml:space="preserve">2. Update Status as you progress — drop-downs are pre-filled.</t>
  </si>
  <si>
    <t xml:space="preserve">In active interview</t>
  </si>
  <si>
    <t xml:space="preserve">3. For each interview, add a row to the Interview Rounds sheet.</t>
  </si>
  <si>
    <t xml:space="preserve">Offers received</t>
  </si>
  <si>
    <t xml:space="preserve">4. Build your Story Bank as you interview. Aim for 5-10 strong stories.</t>
  </si>
  <si>
    <t xml:space="preserve">Rejected / ghosted</t>
  </si>
  <si>
    <t xml:space="preserve">5. The dashboard updates live from formulas.</t>
  </si>
  <si>
    <t xml:space="preserve">Awaiting response</t>
  </si>
  <si>
    <t xml:space="preserve">Stale (&gt;21 days)</t>
  </si>
  <si>
    <t xml:space="preserve">STALE APPLICATIONS</t>
  </si>
  <si>
    <t xml:space="preserve">Any row with Days Since &gt; 21 in the Tracker is auto-highlighted.</t>
  </si>
  <si>
    <t xml:space="preserve">FUNNEL</t>
  </si>
  <si>
    <t xml:space="preserve">Either follow up, or move it to Ghosted.</t>
  </si>
  <si>
    <t xml:space="preserve">Application → Interview rate</t>
  </si>
  <si>
    <t xml:space="preserve">Interview → Offer rate</t>
  </si>
  <si>
    <t xml:space="preserve">STORY BANK STRATEGY</t>
  </si>
  <si>
    <t xml:space="preserve">Average fit score (applied)</t>
  </si>
  <si>
    <t xml:space="preserve">Review the Story Bank before each interview — pick 3-4 stories that fit</t>
  </si>
  <si>
    <t xml:space="preserve">the company's likely questions. After the interview, log which stories you used</t>
  </si>
  <si>
    <t xml:space="preserve">BY WORK MODE</t>
  </si>
  <si>
    <t xml:space="preserve">in the Interview Rounds sheet, then update Times Used in the Story Bank.</t>
  </si>
  <si>
    <t xml:space="preserve">Onsite</t>
  </si>
  <si>
    <t xml:space="preserve">Hybrid</t>
  </si>
  <si>
    <t xml:space="preserve">Remote</t>
  </si>
  <si>
    <t xml:space="preserve">Freelance</t>
  </si>
  <si>
    <t xml:space="preserve">JobPilot — Application Tracker</t>
  </si>
  <si>
    <t xml:space="preserve">© 2026 [YOUR NAME] · All rights reserved · Submitted to 1000Jobs Final Stage for evaluation only · See LICENSE</t>
  </si>
  <si>
    <t xml:space="preserve">ID</t>
  </si>
  <si>
    <t xml:space="preserve">Date Saved</t>
  </si>
  <si>
    <t xml:space="preserve">Date Applied</t>
  </si>
  <si>
    <t xml:space="preserve">Company</t>
  </si>
  <si>
    <t xml:space="preserve">Role</t>
  </si>
  <si>
    <t xml:space="preserve">Work Mode</t>
  </si>
  <si>
    <t xml:space="preserve">Platform</t>
  </si>
  <si>
    <t xml:space="preserve">Job URL</t>
  </si>
  <si>
    <t xml:space="preserve">Location</t>
  </si>
  <si>
    <t xml:space="preserve">Salary Range</t>
  </si>
  <si>
    <t xml:space="preserve">Fit Score</t>
  </si>
  <si>
    <t xml:space="preserve">Archetype Match</t>
  </si>
  <si>
    <t xml:space="preserve">Resume Version</t>
  </si>
  <si>
    <t xml:space="preserve">Status</t>
  </si>
  <si>
    <t xml:space="preserve">Response</t>
  </si>
  <si>
    <t xml:space="preserve">Last Update</t>
  </si>
  <si>
    <t xml:space="preserve">Days Since</t>
  </si>
  <si>
    <t xml:space="preserve">Recruiter / Contact</t>
  </si>
  <si>
    <t xml:space="preserve">Recruiter Email/LinkedIn</t>
  </si>
  <si>
    <t xml:space="preserve">Notes</t>
  </si>
  <si>
    <t xml:space="preserve">Run ID (logs)</t>
  </si>
  <si>
    <t xml:space="preserve">2026-04-28</t>
  </si>
  <si>
    <t xml:space="preserve">2026-04-29</t>
  </si>
  <si>
    <t xml:space="preserve">Grammarly</t>
  </si>
  <si>
    <t xml:space="preserve">Senior Product Manager</t>
  </si>
  <si>
    <t xml:space="preserve">remote</t>
  </si>
  <si>
    <t xml:space="preserve">Greenhouse</t>
  </si>
  <si>
    <t xml:space="preserve">https://job-boards.greenhouse.io/grammarly/jobs/7767680</t>
  </si>
  <si>
    <t xml:space="preserve">Remote · US</t>
  </si>
  <si>
    <t xml:space="preserve">$180-220k</t>
  </si>
  <si>
    <t xml:space="preserve">women_forward + stable_provider</t>
  </si>
  <si>
    <t xml:space="preserve">v3-pm-grammarly</t>
  </si>
  <si>
    <t xml:space="preserve">Phone Screen</t>
  </si>
  <si>
    <t xml:space="preserve">Responded</t>
  </si>
  <si>
    <t xml:space="preserve">2026-05-01</t>
  </si>
  <si>
    <t xml:space="preserve">Sarah Chen</t>
  </si>
  <si>
    <t xml:space="preserve">sarah.chen@grammarly.com</t>
  </si>
  <si>
    <t xml:space="preserve">Recruiter very responsive. Mentioned WLB explicitly. Phone screen Mon 11am.</t>
  </si>
  <si>
    <t xml:space="preserve">run_2026-04-29T14-12-22Z_8f3a</t>
  </si>
  <si>
    <t xml:space="preserve">2026-04-25</t>
  </si>
  <si>
    <t xml:space="preserve">2026-04-26</t>
  </si>
  <si>
    <t xml:space="preserve">Modern Health</t>
  </si>
  <si>
    <t xml:space="preserve">Senior PMM</t>
  </si>
  <si>
    <t xml:space="preserve">https://job-boards.greenhouse.io/modernhealth/jobs/8465250002</t>
  </si>
  <si>
    <t xml:space="preserve">$160-190k</t>
  </si>
  <si>
    <t xml:space="preserve">women_forward + mission_believer</t>
  </si>
  <si>
    <t xml:space="preserve">v2-pmm-mh</t>
  </si>
  <si>
    <t xml:space="preserve">Interview R1</t>
  </si>
  <si>
    <t xml:space="preserve">2026-04-30</t>
  </si>
  <si>
    <t xml:space="preserve">Maya Patel</t>
  </si>
  <si>
    <t xml:space="preserve">maya@modernhealth.com</t>
  </si>
  <si>
    <t xml:space="preserve">Hiring manager loved the case study. R2 scheduled.</t>
  </si>
  <si>
    <t xml:space="preserve">run_2026-04-26T09-44-08Z_b21c</t>
  </si>
  <si>
    <t xml:space="preserve">Geotab</t>
  </si>
  <si>
    <t xml:space="preserve">Senior PM, Go App</t>
  </si>
  <si>
    <t xml:space="preserve">https://job-boards.greenhouse.io/geotab/jobs/5041684008</t>
  </si>
  <si>
    <t xml:space="preserve">Remote · CA</t>
  </si>
  <si>
    <t xml:space="preserve">$150-180k</t>
  </si>
  <si>
    <t xml:space="preserve">stable_provider</t>
  </si>
  <si>
    <t xml:space="preserve">v3-pm-geotab</t>
  </si>
  <si>
    <t xml:space="preserve">Applied</t>
  </si>
  <si>
    <t xml:space="preserve">Awaiting Response</t>
  </si>
  <si>
    <t xml:space="preserve">Auto-applied via JobPilot. Below 0.7 archetype match — flagged.</t>
  </si>
  <si>
    <t xml:space="preserve">run_2026-04-30T16-02-44Z_c98d</t>
  </si>
  <si>
    <t xml:space="preserve">2026-04-22</t>
  </si>
  <si>
    <t xml:space="preserve">Anthropic</t>
  </si>
  <si>
    <t xml:space="preserve">Member of Technical Staff</t>
  </si>
  <si>
    <t xml:space="preserve">hybrid</t>
  </si>
  <si>
    <t xml:space="preserve">Custom (anthropic.com/careers)</t>
  </si>
  <si>
    <t xml:space="preserve">https://www.anthropic.com/careers</t>
  </si>
  <si>
    <t xml:space="preserve">San Francisco</t>
  </si>
  <si>
    <t xml:space="preserve">$240-300k</t>
  </si>
  <si>
    <t xml:space="preserve">deep_specialist</t>
  </si>
  <si>
    <t xml:space="preserve">v4-eng-anthropic</t>
  </si>
  <si>
    <t xml:space="preserve">Saved</t>
  </si>
  <si>
    <t xml:space="preserve">—</t>
  </si>
  <si>
    <t xml:space="preserve">Saved — need to network in before applying. Noted 2 SF-based connections on LinkedIn.</t>
  </si>
  <si>
    <t xml:space="preserve">Interview Rounds — Detail Log</t>
  </si>
  <si>
    <t xml:space="preserve">One row per interview round per application. Cross-reference Application ID with the Tracker sheet.</t>
  </si>
  <si>
    <t xml:space="preserve">App ID</t>
  </si>
  <si>
    <t xml:space="preserve">Round</t>
  </si>
  <si>
    <t xml:space="preserve">Round Type</t>
  </si>
  <si>
    <t xml:space="preserve">Date</t>
  </si>
  <si>
    <t xml:space="preserve">Time</t>
  </si>
  <si>
    <t xml:space="preserve">Duration (min)</t>
  </si>
  <si>
    <t xml:space="preserve">Interviewer Name</t>
  </si>
  <si>
    <t xml:space="preserve">Interviewer Title</t>
  </si>
  <si>
    <t xml:space="preserve">Interviewer LinkedIn</t>
  </si>
  <si>
    <t xml:space="preserve">Format</t>
  </si>
  <si>
    <t xml:space="preserve">Outcome</t>
  </si>
  <si>
    <t xml:space="preserve">Confidence</t>
  </si>
  <si>
    <t xml:space="preserve">Questions Asked</t>
  </si>
  <si>
    <t xml:space="preserve">What I Did Well</t>
  </si>
  <si>
    <t xml:space="preserve">What I'd Improve</t>
  </si>
  <si>
    <t xml:space="preserve">Stories Used</t>
  </si>
  <si>
    <t xml:space="preserve">Follow-Up Sent?</t>
  </si>
  <si>
    <t xml:space="preserve">Thank-You Sent?</t>
  </si>
  <si>
    <t xml:space="preserve">Senior PM</t>
  </si>
  <si>
    <t xml:space="preserve">R1</t>
  </si>
  <si>
    <t xml:space="preserve">Phone Screen — Recruiter</t>
  </si>
  <si>
    <t xml:space="preserve">2026-05-04</t>
  </si>
  <si>
    <t xml:space="preserve">11:00</t>
  </si>
  <si>
    <t xml:space="preserve">Senior Recruiter</t>
  </si>
  <si>
    <t xml:space="preserve">linkedin.com/in/sarahchen-grammarly</t>
  </si>
  <si>
    <t xml:space="preserve">Phone</t>
  </si>
  <si>
    <t xml:space="preserve">Pass</t>
  </si>
  <si>
    <t xml:space="preserve">High</t>
  </si>
  <si>
    <t xml:space="preserve">Why Grammarly? What's your PM philosophy? Why remote?</t>
  </si>
  <si>
    <t xml:space="preserve">Articulated WLB priorities clearly. Story about Q3 launch landed.</t>
  </si>
  <si>
    <t xml:space="preserve">Could have asked more about team structure.</t>
  </si>
  <si>
    <t xml:space="preserve">Q3 launch (story-1), team-restructuring (story-3)</t>
  </si>
  <si>
    <t xml:space="preserve">Yes</t>
  </si>
  <si>
    <t xml:space="preserve">Sarah is moving me to HM round. Said comp range was confirmed.</t>
  </si>
  <si>
    <t xml:space="preserve">Hiring Manager</t>
  </si>
  <si>
    <t xml:space="preserve">2026-05-02</t>
  </si>
  <si>
    <t xml:space="preserve">14:00</t>
  </si>
  <si>
    <t xml:space="preserve">Director of Product Marketing</t>
  </si>
  <si>
    <t xml:space="preserve">linkedin.com/in/mayapatel</t>
  </si>
  <si>
    <t xml:space="preserve">Video</t>
  </si>
  <si>
    <t xml:space="preserve">Walk me through a launch. How do you think about positioning? Mental health POV?</t>
  </si>
  <si>
    <t xml:space="preserve">Strong launch case study. Genuine answer on mental health.</t>
  </si>
  <si>
    <t xml:space="preserve">Got tripped up on segmentation question. Practice this.</t>
  </si>
  <si>
    <t xml:space="preserve">Q3 launch (story-1), product-positioning (story-2)</t>
  </si>
  <si>
    <t xml:space="preserve">Maya great — felt aligned. R2 with VP next week. Asked for case study brief.</t>
  </si>
  <si>
    <t xml:space="preserve">R2</t>
  </si>
  <si>
    <t xml:space="preserve">VP / Skip-Level</t>
  </si>
  <si>
    <t xml:space="preserve">2026-05-09</t>
  </si>
  <si>
    <t xml:space="preserve">Jordan Lee</t>
  </si>
  <si>
    <t xml:space="preserve">VP Marketing</t>
  </si>
  <si>
    <t xml:space="preserve">linkedin.com/in/jordanlee</t>
  </si>
  <si>
    <t xml:space="preserve">Pending</t>
  </si>
  <si>
    <t xml:space="preserve">Medium</t>
  </si>
  <si>
    <t xml:space="preserve">Long-term GTM vision. Failure story. Why us over Calm?</t>
  </si>
  <si>
    <t xml:space="preserve">Failure story landed. Gave honest answer on competitor analysis.</t>
  </si>
  <si>
    <t xml:space="preserve">Could have prepared a stronger 'why us over Calm'.</t>
  </si>
  <si>
    <t xml:space="preserve">Q3-launch-failed-experiment (story-4)</t>
  </si>
  <si>
    <t xml:space="preserve">Awaiting feedback. Maya said 'positive signals'.</t>
  </si>
  <si>
    <t xml:space="preserve">Story Bank — STAR + R</t>
  </si>
  <si>
    <t xml:space="preserve">Reusable behavioral interview stories. Inspired by career-ops by santifer. Aim for 5-10 strong stories that can be reshaped to answer most behavioral questions.</t>
  </si>
  <si>
    <t xml:space="preserve">Story ID</t>
  </si>
  <si>
    <t xml:space="preserve">Title</t>
  </si>
  <si>
    <t xml:space="preserve">Theme</t>
  </si>
  <si>
    <t xml:space="preserve">Situation</t>
  </si>
  <si>
    <t xml:space="preserve">Task</t>
  </si>
  <si>
    <t xml:space="preserve">Action</t>
  </si>
  <si>
    <t xml:space="preserve">Result</t>
  </si>
  <si>
    <t xml:space="preserve">Reflection</t>
  </si>
  <si>
    <t xml:space="preserve">Used In</t>
  </si>
  <si>
    <t xml:space="preserve">Times Used</t>
  </si>
  <si>
    <t xml:space="preserve">Strength (1-5)</t>
  </si>
  <si>
    <t xml:space="preserve">Refresh Date</t>
  </si>
  <si>
    <t xml:space="preserve">story-1</t>
  </si>
  <si>
    <t xml:space="preserve">Q3 launch — pivoting under deadline</t>
  </si>
  <si>
    <t xml:space="preserve">Leadership / Adaptability</t>
  </si>
  <si>
    <t xml:space="preserve">Q3 2024, 4 weeks before our flagship launch, the eng team flagged that the ML inference cost would 5x in production vs staging.</t>
  </si>
  <si>
    <t xml:space="preserve">I owned the launch. Decision: cut features to hit cost target, or push date and risk competitor.</t>
  </si>
  <si>
    <t xml:space="preserve">Spent a day with eng to map cost vs feature impact. Cut two features that drove only 12% of value but 60% of cost. Communicated trade-off to exec team and to design. Negotiated with CFO for a soft cost ceiling rather than hard.</t>
  </si>
  <si>
    <t xml:space="preserve">Launched on time at 70% of feature scope. Cost came in 18% under target. Customer feedback was positive on launched features; the cut features later returned in v1.1.</t>
  </si>
  <si>
    <t xml:space="preserve">What I'd do differently: surface cost-of-inference earlier in the spec process. Now we run a 'cost diligence' check at design-review.</t>
  </si>
  <si>
    <t xml:space="preserve">Grammarly R1, Modern Health R1</t>
  </si>
  <si>
    <t xml:space="preserve">story-2</t>
  </si>
  <si>
    <t xml:space="preserve">Product positioning vs incumbent</t>
  </si>
  <si>
    <t xml:space="preserve">Strategy / PMM</t>
  </si>
  <si>
    <t xml:space="preserve">Joined a team launching a category-creator product into a mature space dominated by an incumbent with 8x our budget.</t>
  </si>
  <si>
    <t xml:space="preserve">Define positioning that wouldn't get steamrolled.</t>
  </si>
  <si>
    <t xml:space="preserve">Researched 200 customer reviews of the incumbent — clustered into 3 unmet-need themes. Built positioning around the strongest theme ('built for teams of 10-50, not 1000+'). Validated with 12 customer calls before locking.</t>
  </si>
  <si>
    <t xml:space="preserve">Won 4 of 5 bake-offs vs incumbent in pilot quarter. Positioning held through GTM expansion.</t>
  </si>
  <si>
    <t xml:space="preserve">Customer reviews are an underused source of strategic insight. Now I do this on every new product I touch.</t>
  </si>
  <si>
    <t xml:space="preserve">Modern Health R1</t>
  </si>
  <si>
    <t xml:space="preserve">story-3</t>
  </si>
  <si>
    <t xml:space="preserve">Restructuring a stuck team</t>
  </si>
  <si>
    <t xml:space="preserve">Leadership / People</t>
  </si>
  <si>
    <t xml:space="preserve">Inherited a team of 6 PMs with low morale, last to ship a feature 7 months earlier.</t>
  </si>
  <si>
    <t xml:space="preserve">Get them shipping again without an offsite or the 'inspirational speech' approach.</t>
  </si>
  <si>
    <t xml:space="preserve">1:1s with each PM in week 1: pure listening, no advice. Found 4 of 6 had unclear scope. Re-cut scopes with each, made trade-offs explicit. Killed two stale projects publicly.</t>
  </si>
  <si>
    <t xml:space="preserve">First ship in week 5. By month 3, team velocity 2.5x. One PM left (good outcome — not aligned with new direction).</t>
  </si>
  <si>
    <t xml:space="preserve">Underrated lever: just making scope explicit. Most stuck teams aren't unmotivated, they're confused.</t>
  </si>
  <si>
    <t xml:space="preserve">Grammarly R1</t>
  </si>
  <si>
    <t xml:space="preserve">story-4</t>
  </si>
  <si>
    <t xml:space="preserve">Failed experiment that I had to defend</t>
  </si>
  <si>
    <t xml:space="preserve">Failure / Reflection</t>
  </si>
  <si>
    <t xml:space="preserve">Ran an A/B test that I was sure would lift activation 10%. Designed, shipped, ran for 3 weeks. Result: -2% activation.</t>
  </si>
  <si>
    <t xml:space="preserve">Communicate the failure up the chain without burying it.</t>
  </si>
  <si>
    <t xml:space="preserve">Wrote a post-mortem the day results came in. Admitted my prior was wrong. Identified 2 confounders I should have caught upfront. Shared with the broader product org — not just my manager.</t>
  </si>
  <si>
    <t xml:space="preserve">Manager and skip-level both told me later they remembered the post-mortem more than my wins that quarter. Got promoted 6 months later partly on the strength of how I handled it.</t>
  </si>
  <si>
    <t xml:space="preserve">The willingness to publish your own failure publicly is a force multiplier. People remember it.</t>
  </si>
  <si>
    <t xml:space="preserve">Modern Health R2</t>
  </si>
  <si>
    <t xml:space="preserve">Status Legend</t>
  </si>
  <si>
    <t xml:space="preserve">Canonical statuses used by the Tracker dropdown. Color-coded.</t>
  </si>
  <si>
    <t xml:space="preserve">Description</t>
  </si>
  <si>
    <t xml:space="preserve">Color (text/bg)</t>
  </si>
  <si>
    <t xml:space="preserve">Job saved but not yet applied</t>
  </si>
  <si>
    <t xml:space="preserve">#B8B5A6 on #FAFAF7</t>
  </si>
  <si>
    <t xml:space="preserve">Application submitted</t>
  </si>
  <si>
    <t xml:space="preserve">#D97757 on #FCEEE6</t>
  </si>
  <si>
    <t xml:space="preserve">In Review</t>
  </si>
  <si>
    <t xml:space="preserve">Application acknowledged or under review</t>
  </si>
  <si>
    <t xml:space="preserve">#92400E on #FEF3C7</t>
  </si>
  <si>
    <t xml:space="preserve">Recruiter / HR initial call scheduled or done</t>
  </si>
  <si>
    <t xml:space="preserve">First-round interview (technical or hiring manager)</t>
  </si>
  <si>
    <t xml:space="preserve">Interview R2</t>
  </si>
  <si>
    <t xml:space="preserve">Second-round interview (panel, deep dive, case)</t>
  </si>
  <si>
    <t xml:space="preserve">Interview R3</t>
  </si>
  <si>
    <t xml:space="preserve">Third-round / final / leadership / executive</t>
  </si>
  <si>
    <t xml:space="preserve">Take-Home</t>
  </si>
  <si>
    <t xml:space="preserve">Take-home assignment in progress</t>
  </si>
  <si>
    <t xml:space="preserve">Offer</t>
  </si>
  <si>
    <t xml:space="preserve">Offer extended</t>
  </si>
  <si>
    <t xml:space="preserve">#1F4D3F on #E1ECE6</t>
  </si>
  <si>
    <t xml:space="preserve">Negotiating</t>
  </si>
  <si>
    <t xml:space="preserve">Offer received, negotiating terms</t>
  </si>
  <si>
    <t xml:space="preserve">Accepted</t>
  </si>
  <si>
    <t xml:space="preserve">Offer accepted</t>
  </si>
  <si>
    <t xml:space="preserve">Rejected</t>
  </si>
  <si>
    <t xml:space="preserve">Rejected by company</t>
  </si>
  <si>
    <t xml:space="preserve">#9B2C2C on #FCE7E7</t>
  </si>
  <si>
    <t xml:space="preserve">Withdrew</t>
  </si>
  <si>
    <t xml:space="preserve">Candidate withdrew</t>
  </si>
  <si>
    <t xml:space="preserve">#4A4940 on #FAFAF7</t>
  </si>
  <si>
    <t xml:space="preserve">Ghosted</t>
  </si>
  <si>
    <t xml:space="preserve">No response after 3+ weeks (treat as soft reject)</t>
  </si>
  <si>
    <t xml:space="preserve">Closed</t>
  </si>
  <si>
    <t xml:space="preserve">Posting closed without outcome</t>
  </si>
  <si>
    <t xml:space="preserve">Platform Reference</t>
  </si>
  <si>
    <t xml:space="preserve">Master list of supported and planned platforms. Filter by work mode + region.</t>
  </si>
  <si>
    <t xml:space="preserve">Domain</t>
  </si>
  <si>
    <t xml:space="preserve">Kind</t>
  </si>
  <si>
    <t xml:space="preserve">Work Modes</t>
  </si>
  <si>
    <t xml:space="preserve">Regions</t>
  </si>
  <si>
    <t xml:space="preserve">greenhouse.io</t>
  </si>
  <si>
    <t xml:space="preserve">ats</t>
  </si>
  <si>
    <t xml:space="preserve">onsite, hybrid, remote</t>
  </si>
  <si>
    <t xml:space="preserve">global</t>
  </si>
  <si>
    <t xml:space="preserve">live</t>
  </si>
  <si>
    <t xml:space="preserve">THE flagship adapter. Full v1 support.</t>
  </si>
  <si>
    <t xml:space="preserve">Glassdoor</t>
  </si>
  <si>
    <t xml:space="preserve">glassdoor.com</t>
  </si>
  <si>
    <t xml:space="preserve">aggregator</t>
  </si>
  <si>
    <t xml:space="preserve">stub</t>
  </si>
  <si>
    <t xml:space="preserve">We use Glassdoor primarily as a fit-intelligence source, not an application target.</t>
  </si>
  <si>
    <t xml:space="preserve">Indeed</t>
  </si>
  <si>
    <t xml:space="preserve">indeed.com</t>
  </si>
  <si>
    <t xml:space="preserve">planned</t>
  </si>
  <si>
    <t xml:space="preserve">High volume, low signal. Most listings are aggregated from elsewhere.</t>
  </si>
  <si>
    <t xml:space="preserve">LinkedIn</t>
  </si>
  <si>
    <t xml:space="preserve">linkedin.com/jobs</t>
  </si>
  <si>
    <t xml:space="preserve">Easy Apply varies wildly. Strong for onsite/hybrid roles. Bot-detection is heavy.</t>
  </si>
  <si>
    <t xml:space="preserve">eFinancialCareers</t>
  </si>
  <si>
    <t xml:space="preserve">efinancialcareers.com</t>
  </si>
  <si>
    <t xml:space="preserve">Finance / banking specialist board.</t>
  </si>
  <si>
    <t xml:space="preserve">Ashby</t>
  </si>
  <si>
    <t xml:space="preserve">ashbyhq.com</t>
  </si>
  <si>
    <t xml:space="preserve">Lever</t>
  </si>
  <si>
    <t xml:space="preserve">lever.co</t>
  </si>
  <si>
    <t xml:space="preserve">Workday</t>
  </si>
  <si>
    <t xml:space="preserve">myworkdayjobs.com</t>
  </si>
  <si>
    <t xml:space="preserve">Notoriously inconsistent. Each company customizes the form.</t>
  </si>
  <si>
    <t xml:space="preserve">Fiverr</t>
  </si>
  <si>
    <t xml:space="preserve">fiverr.com</t>
  </si>
  <si>
    <t xml:space="preserve">freelance</t>
  </si>
  <si>
    <t xml:space="preserve">Gig-based, supplier-side. The 'application' is creating a gig listing.</t>
  </si>
  <si>
    <t xml:space="preserve">Toptal</t>
  </si>
  <si>
    <t xml:space="preserve">toptal.com</t>
  </si>
  <si>
    <t xml:space="preserve">Vetted freelance network. Application is invitation-based.</t>
  </si>
  <si>
    <t xml:space="preserve">Upwork</t>
  </si>
  <si>
    <t xml:space="preserve">upwork.com</t>
  </si>
  <si>
    <t xml:space="preserve">Proposal-based, not application-based. Adapter logic differs significantly.</t>
  </si>
  <si>
    <t xml:space="preserve">Adecco</t>
  </si>
  <si>
    <t xml:space="preserve">adecco.ae</t>
  </si>
  <si>
    <t xml:space="preserve">recruiter</t>
  </si>
  <si>
    <t xml:space="preserve">onsite, hybrid</t>
  </si>
  <si>
    <t xml:space="preserve">AE, global</t>
  </si>
  <si>
    <t xml:space="preserve">Charterhouse</t>
  </si>
  <si>
    <t xml:space="preserve">charterhouseme.ae</t>
  </si>
  <si>
    <t xml:space="preserve">AE</t>
  </si>
  <si>
    <t xml:space="preserve">Cooper Fitch</t>
  </si>
  <si>
    <t xml:space="preserve">cooperfitch.ae</t>
  </si>
  <si>
    <t xml:space="preserve">Hays</t>
  </si>
  <si>
    <t xml:space="preserve">hays.ae</t>
  </si>
  <si>
    <t xml:space="preserve">MCG Talent</t>
  </si>
  <si>
    <t xml:space="preserve">mcgtalent.com</t>
  </si>
  <si>
    <t xml:space="preserve">Manpower</t>
  </si>
  <si>
    <t xml:space="preserve">manpower.ae</t>
  </si>
  <si>
    <t xml:space="preserve">Marc Ellis</t>
  </si>
  <si>
    <t xml:space="preserve">marcellis.com</t>
  </si>
  <si>
    <t xml:space="preserve">Michael Page</t>
  </si>
  <si>
    <t xml:space="preserve">michaelpage.ae</t>
  </si>
  <si>
    <t xml:space="preserve">Salt</t>
  </si>
  <si>
    <t xml:space="preserve">welovesalt.com</t>
  </si>
  <si>
    <t xml:space="preserve">Bayt.com</t>
  </si>
  <si>
    <t xml:space="preserve">bayt.com</t>
  </si>
  <si>
    <t xml:space="preserve">regional</t>
  </si>
  <si>
    <t xml:space="preserve">AE, SA, EG, JO, LB</t>
  </si>
  <si>
    <t xml:space="preserve">GulfTalent</t>
  </si>
  <si>
    <t xml:space="preserve">gulftalent.com</t>
  </si>
  <si>
    <t xml:space="preserve">AE, SA, QA, KW, BH, OM</t>
  </si>
  <si>
    <t xml:space="preserve">Naukrigulf</t>
  </si>
  <si>
    <t xml:space="preserve">naukrigulf.com</t>
  </si>
  <si>
    <t xml:space="preserve">The dominant Gulf job board. Onsite-heavy.</t>
  </si>
  <si>
    <t xml:space="preserve">FlexJobs</t>
  </si>
  <si>
    <t xml:space="preserve">flexjobs.com</t>
  </si>
  <si>
    <t xml:space="preserve">remote_first</t>
  </si>
  <si>
    <t xml:space="preserve">remote, freelance</t>
  </si>
  <si>
    <t xml:space="preserve">Paid platform. Adapter would need credentials.</t>
  </si>
  <si>
    <t xml:space="preserve">Jobgether</t>
  </si>
  <si>
    <t xml:space="preserve">jobgether.com</t>
  </si>
  <si>
    <t xml:space="preserve">remote, hybrid</t>
  </si>
  <si>
    <t xml:space="preserve">Jobspresso</t>
  </si>
  <si>
    <t xml:space="preserve">jobspresso.co</t>
  </si>
  <si>
    <t xml:space="preserve">JustRemote</t>
  </si>
  <si>
    <t xml:space="preserve">justremote.co</t>
  </si>
  <si>
    <t xml:space="preserve">Remote OK</t>
  </si>
  <si>
    <t xml:space="preserve">remoteok.com</t>
  </si>
  <si>
    <t xml:space="preserve">Has a clean public JSON feed. Easiest to integrate.</t>
  </si>
  <si>
    <t xml:space="preserve">Remote.co</t>
  </si>
  <si>
    <t xml:space="preserve">remote.co</t>
  </si>
  <si>
    <t xml:space="preserve">Remotive</t>
  </si>
  <si>
    <t xml:space="preserve">remotive.com</t>
  </si>
  <si>
    <t xml:space="preserve">We Work Remotely</t>
  </si>
  <si>
    <t xml:space="preserve">weworkremotely.com</t>
  </si>
  <si>
    <t xml:space="preserve">Web3 Jobs</t>
  </si>
  <si>
    <t xml:space="preserve">web3.career</t>
  </si>
  <si>
    <t xml:space="preserve">Wellfound (formerly AngelList)</t>
  </si>
  <si>
    <t xml:space="preserve">wellfound.com</t>
  </si>
  <si>
    <t xml:space="preserve">remote, hybrid, onsite</t>
  </si>
  <si>
    <t xml:space="preserve">Best for startup roles. Equity transparency.</t>
  </si>
  <si>
    <t xml:space="preserve">Working Nomads</t>
  </si>
  <si>
    <t xml:space="preserve">workingnomads.com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</si>
</sst>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.0%"/>
    <numFmt numFmtId="167" formatCode="0.00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61510"/>
      <name val="Calibri"/>
      <family val="0"/>
      <charset val="1"/>
    </font>
    <font>
      <i val="true"/>
      <sz val="11"/>
      <color rgb="FF4A4940"/>
      <name val="Calibri"/>
      <family val="0"/>
      <charset val="1"/>
    </font>
    <font>
      <b val="true"/>
      <sz val="10"/>
      <color rgb="FFD97757"/>
      <name val="Calibri"/>
      <family val="0"/>
      <charset val="1"/>
    </font>
    <font>
      <sz val="11"/>
      <color rgb="FF161510"/>
      <name val="Calibri"/>
      <family val="0"/>
      <charset val="1"/>
    </font>
    <font>
      <b val="true"/>
      <sz val="12"/>
      <color rgb="FF161510"/>
      <name val="Calibri"/>
      <family val="0"/>
      <charset val="1"/>
    </font>
    <font>
      <sz val="10"/>
      <color rgb="FF4A4940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color rgb="FFB8B5A6"/>
      <name val="Calibri"/>
      <family val="0"/>
      <charset val="1"/>
    </font>
    <font>
      <sz val="10"/>
      <color rgb="FF4A4940"/>
      <name val="Consolas"/>
      <family val="0"/>
      <charset val="1"/>
    </font>
    <font>
      <b val="true"/>
      <sz val="11"/>
      <color rgb="FFD97757"/>
      <name val="Calibri"/>
      <family val="0"/>
      <charset val="1"/>
    </font>
    <font>
      <b val="true"/>
      <sz val="11"/>
      <color rgb="FF92400E"/>
      <name val="Calibri"/>
      <family val="0"/>
      <charset val="1"/>
    </font>
    <font>
      <b val="true"/>
      <sz val="11"/>
      <color rgb="FF1F4D3F"/>
      <name val="Calibri"/>
      <family val="0"/>
      <charset val="1"/>
    </font>
    <font>
      <b val="true"/>
      <sz val="11"/>
      <color rgb="FF9B2C2C"/>
      <name val="Calibri"/>
      <family val="0"/>
      <charset val="1"/>
    </font>
    <font>
      <b val="true"/>
      <sz val="11"/>
      <color rgb="FF4A4940"/>
      <name val="Calibri"/>
      <family val="0"/>
      <charset val="1"/>
    </font>
    <font>
      <sz val="11"/>
      <color rgb="FF92400E"/>
      <name val="Calibri"/>
      <family val="0"/>
      <charset val="1"/>
    </font>
    <font>
      <sz val="11"/>
      <color rgb="FFB8B5A6"/>
      <name val="Calibr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61510"/>
        <bgColor rgb="FF000000"/>
      </patternFill>
    </fill>
    <fill>
      <patternFill patternType="solid">
        <fgColor rgb="FFFAFAF7"/>
        <bgColor rgb="FFFFFFFF"/>
      </patternFill>
    </fill>
    <fill>
      <patternFill patternType="solid">
        <fgColor rgb="FFFCEEE6"/>
        <bgColor rgb="FFFCE7E7"/>
      </patternFill>
    </fill>
    <fill>
      <patternFill patternType="solid">
        <fgColor rgb="FFFEF3C7"/>
        <bgColor rgb="FFFCEEE6"/>
      </patternFill>
    </fill>
    <fill>
      <patternFill patternType="solid">
        <fgColor rgb="FFE1ECE6"/>
        <bgColor rgb="FFFCEEE6"/>
      </patternFill>
    </fill>
    <fill>
      <patternFill patternType="solid">
        <fgColor rgb="FFFCE7E7"/>
        <bgColor rgb="FFFCEE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ont>
        <name val="Calibri"/>
        <charset val="1"/>
        <family val="0"/>
        <b val="1"/>
        <color rgb="FFB8B5A6"/>
        <sz val="11"/>
      </font>
      <fill>
        <patternFill>
          <bgColor rgb="FFFAFAF7"/>
        </patternFill>
      </fill>
    </dxf>
    <dxf>
      <font>
        <name val="Calibri"/>
        <charset val="1"/>
        <family val="0"/>
        <b val="1"/>
        <color rgb="FFD97757"/>
        <sz val="11"/>
      </font>
      <fill>
        <patternFill>
          <bgColor rgb="FFFCEEE6"/>
        </patternFill>
      </fill>
    </dxf>
    <dxf>
      <font>
        <name val="Calibri"/>
        <charset val="1"/>
        <family val="0"/>
        <b val="1"/>
        <color rgb="FF92400E"/>
        <sz val="11"/>
      </font>
      <fill>
        <patternFill>
          <bgColor rgb="FFFEF3C7"/>
        </patternFill>
      </fill>
    </dxf>
    <dxf>
      <font>
        <name val="Calibri"/>
        <charset val="1"/>
        <family val="0"/>
        <b val="1"/>
        <color rgb="FF1F4D3F"/>
        <sz val="11"/>
      </font>
      <fill>
        <patternFill>
          <bgColor rgb="FFE1ECE6"/>
        </patternFill>
      </fill>
    </dxf>
    <dxf>
      <font>
        <name val="Calibri"/>
        <charset val="1"/>
        <family val="0"/>
        <b val="1"/>
        <color rgb="FF9B2C2C"/>
        <sz val="11"/>
      </font>
      <fill>
        <patternFill>
          <bgColor rgb="FFFCE7E7"/>
        </patternFill>
      </fill>
    </dxf>
    <dxf>
      <font>
        <name val="Calibri"/>
        <charset val="1"/>
        <family val="0"/>
        <b val="1"/>
        <color rgb="FF4A4940"/>
        <sz val="11"/>
      </font>
      <fill>
        <patternFill>
          <bgColor rgb="FFFAFAF7"/>
        </patternFill>
      </fill>
    </dxf>
    <dxf>
      <font>
        <name val="Calibri"/>
        <charset val="1"/>
        <family val="0"/>
        <color rgb="FF9B2C2C"/>
        <sz val="11"/>
      </font>
      <fill>
        <patternFill>
          <bgColor rgb="FFFCE7E7"/>
        </patternFill>
      </fill>
    </dxf>
    <dxf>
      <font>
        <name val="Calibri"/>
        <charset val="1"/>
        <family val="0"/>
        <color rgb="FF92400E"/>
        <sz val="11"/>
      </font>
      <fill>
        <patternFill>
          <bgColor rgb="FFFEF3C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B2C2C"/>
      <rgbColor rgb="FFFEF3C7"/>
      <rgbColor rgb="FFE1ECE6"/>
      <rgbColor rgb="FF660066"/>
      <rgbColor rgb="FFD97757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AFAF7"/>
      <rgbColor rgb="FFCCFFCC"/>
      <rgbColor rgb="FFFCEEE6"/>
      <rgbColor rgb="FF99CCFF"/>
      <rgbColor rgb="FFFF99CC"/>
      <rgbColor rgb="FFCC99FF"/>
      <rgbColor rgb="FFFCE7E7"/>
      <rgbColor rgb="FF3366FF"/>
      <rgbColor rgb="FF33CCCC"/>
      <rgbColor rgb="FF99CC00"/>
      <rgbColor rgb="FFFFCC00"/>
      <rgbColor rgb="FFFF9900"/>
      <rgbColor rgb="FFFF6600"/>
      <rgbColor rgb="FF666699"/>
      <rgbColor rgb="FFB8B5A6"/>
      <rgbColor rgb="FF1F4D3F"/>
      <rgbColor rgb="FF339966"/>
      <rgbColor rgb="FF161510"/>
      <rgbColor rgb="FF333300"/>
      <rgbColor rgb="FF92400E"/>
      <rgbColor rgb="FF993366"/>
      <rgbColor rgb="FF333399"/>
      <rgbColor rgb="FF4A49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22"/>
    <col collapsed="false" customWidth="true" hidden="false" outlineLevel="0" max="4" min="4" style="0" width="60"/>
  </cols>
  <sheetData>
    <row r="1" customFormat="false" ht="27.75" hidden="false" customHeight="tru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D4" s="3" t="s">
        <v>3</v>
      </c>
    </row>
    <row r="5" customFormat="false" ht="15" hidden="false" customHeight="false" outlineLevel="0" collapsed="false">
      <c r="A5" s="4" t="s">
        <v>4</v>
      </c>
      <c r="B5" s="5" t="n">
        <f aca="false">COUNTIF(Tracker!N:N,"Saved")</f>
        <v>1</v>
      </c>
      <c r="D5" s="6" t="s">
        <v>5</v>
      </c>
    </row>
    <row r="6" customFormat="false" ht="15" hidden="false" customHeight="false" outlineLevel="0" collapsed="false">
      <c r="A6" s="4" t="s">
        <v>6</v>
      </c>
      <c r="B6" s="5" t="n">
        <f aca="false">COUNTIF(Tracker!N:N,"Applied")+COUNTIF(Tracker!N:N,"In Review")+COUNTIF(Tracker!N:N,"Phone Screen")+COUNTIF(Tracker!N:N,"Interview R1")+COUNTIF(Tracker!N:N,"Interview R2")+COUNTIF(Tracker!N:N,"Interview R3")+COUNTIF(Tracker!N:N,"Take-Home")+COUNTIF(Tracker!N:N,"Offer")+COUNTIF(Tracker!N:N,"Negotiating")+COUNTIF(Tracker!N:N,"Accepted")+COUNTIF(Tracker!N:N,"Rejected")+COUNTIF(Tracker!N:N,"Ghosted")+COUNTIF(Tracker!N:N,"Closed")</f>
        <v>3</v>
      </c>
      <c r="D6" s="6" t="s">
        <v>7</v>
      </c>
    </row>
    <row r="7" customFormat="false" ht="15" hidden="false" customHeight="false" outlineLevel="0" collapsed="false">
      <c r="A7" s="4" t="s">
        <v>8</v>
      </c>
      <c r="B7" s="5" t="n">
        <f aca="false">COUNTIF(Tracker!N:N,"Phone Screen")+COUNTIF(Tracker!N:N,"Interview R1")+COUNTIF(Tracker!N:N,"Interview R2")+COUNTIF(Tracker!N:N,"Interview R3")+COUNTIF(Tracker!N:N,"Take-Home")</f>
        <v>2</v>
      </c>
      <c r="D7" s="6" t="s">
        <v>9</v>
      </c>
    </row>
    <row r="8" customFormat="false" ht="15" hidden="false" customHeight="false" outlineLevel="0" collapsed="false">
      <c r="A8" s="4" t="s">
        <v>10</v>
      </c>
      <c r="B8" s="5" t="n">
        <f aca="false">COUNTIF(Tracker!N:N,"Offer")+COUNTIF(Tracker!N:N,"Negotiating")+COUNTIF(Tracker!N:N,"Accepted")</f>
        <v>0</v>
      </c>
      <c r="D8" s="6" t="s">
        <v>11</v>
      </c>
    </row>
    <row r="9" customFormat="false" ht="15" hidden="false" customHeight="false" outlineLevel="0" collapsed="false">
      <c r="A9" s="4" t="s">
        <v>12</v>
      </c>
      <c r="B9" s="5" t="n">
        <f aca="false">COUNTIF(Tracker!N:N,"Rejected")+COUNTIF(Tracker!N:N,"Ghosted")</f>
        <v>0</v>
      </c>
      <c r="D9" s="6" t="s">
        <v>13</v>
      </c>
    </row>
    <row r="10" customFormat="false" ht="15" hidden="false" customHeight="false" outlineLevel="0" collapsed="false">
      <c r="A10" s="4" t="s">
        <v>14</v>
      </c>
      <c r="B10" s="5" t="n">
        <f aca="false">COUNTIF(Tracker!O:O,"Awaiting Response")</f>
        <v>1</v>
      </c>
      <c r="D10" s="6"/>
    </row>
    <row r="11" customFormat="false" ht="15" hidden="false" customHeight="false" outlineLevel="0" collapsed="false">
      <c r="A11" s="4" t="s">
        <v>15</v>
      </c>
      <c r="B11" s="5" t="n">
        <f aca="false">COUNTIF(Tracker!Q:Q,"&gt;21")</f>
        <v>0</v>
      </c>
      <c r="D11" s="7" t="s">
        <v>16</v>
      </c>
    </row>
    <row r="12" customFormat="false" ht="15" hidden="false" customHeight="false" outlineLevel="0" collapsed="false">
      <c r="D12" s="6" t="s">
        <v>17</v>
      </c>
    </row>
    <row r="13" customFormat="false" ht="15" hidden="false" customHeight="false" outlineLevel="0" collapsed="false">
      <c r="A13" s="3" t="s">
        <v>18</v>
      </c>
      <c r="D13" s="6" t="s">
        <v>19</v>
      </c>
    </row>
    <row r="14" customFormat="false" ht="15" hidden="false" customHeight="false" outlineLevel="0" collapsed="false">
      <c r="A14" s="4" t="s">
        <v>20</v>
      </c>
      <c r="B14" s="8" t="n">
        <f aca="false">IFERROR((COUNTIF(Tracker!N:N,"Phone Screen")+COUNTIF(Tracker!N:N,"Interview R1")+COUNTIF(Tracker!N:N,"Interview R2")+COUNTIF(Tracker!N:N,"Interview R3")+COUNTIF(Tracker!N:N,"Offer")+COUNTIF(Tracker!N:N,"Negotiating")+COUNTIF(Tracker!N:N,"Accepted"))/B6,0)</f>
        <v>0.666666666666667</v>
      </c>
      <c r="D14" s="6"/>
    </row>
    <row r="15" customFormat="false" ht="15" hidden="false" customHeight="false" outlineLevel="0" collapsed="false">
      <c r="A15" s="4" t="s">
        <v>21</v>
      </c>
      <c r="B15" s="8" t="n">
        <f aca="false">IFERROR((COUNTIF(Tracker!N:N,"Offer")+COUNTIF(Tracker!N:N,"Negotiating")+COUNTIF(Tracker!N:N,"Accepted"))/(COUNTIF(Tracker!N:N,"Phone Screen")+COUNTIF(Tracker!N:N,"Interview R1")+COUNTIF(Tracker!N:N,"Interview R2")+COUNTIF(Tracker!N:N,"Interview R3")+COUNTIF(Tracker!N:N,"Offer")+COUNTIF(Tracker!N:N,"Negotiating")+COUNTIF(Tracker!N:N,"Accepted")),0)</f>
        <v>0</v>
      </c>
      <c r="D15" s="7" t="s">
        <v>22</v>
      </c>
    </row>
    <row r="16" customFormat="false" ht="15" hidden="false" customHeight="false" outlineLevel="0" collapsed="false">
      <c r="A16" s="4" t="s">
        <v>23</v>
      </c>
      <c r="B16" s="9" t="n">
        <f aca="false">IFERROR(AVERAGEIFS(Tracker!K:K,Tracker!C:C,"&lt;&gt;"),0)</f>
        <v>0.736666666666667</v>
      </c>
      <c r="D16" s="6" t="s">
        <v>24</v>
      </c>
    </row>
    <row r="17" customFormat="false" ht="15" hidden="false" customHeight="false" outlineLevel="0" collapsed="false">
      <c r="D17" s="6" t="s">
        <v>25</v>
      </c>
    </row>
    <row r="18" customFormat="false" ht="15" hidden="false" customHeight="false" outlineLevel="0" collapsed="false">
      <c r="A18" s="3" t="s">
        <v>26</v>
      </c>
      <c r="D18" s="6" t="s">
        <v>27</v>
      </c>
    </row>
    <row r="19" customFormat="false" ht="15" hidden="false" customHeight="false" outlineLevel="0" collapsed="false">
      <c r="A19" s="4" t="s">
        <v>28</v>
      </c>
      <c r="B19" s="5" t="n">
        <f aca="false">COUNTIF(Tracker!F:F,"onsite")</f>
        <v>0</v>
      </c>
    </row>
    <row r="20" customFormat="false" ht="15" hidden="false" customHeight="false" outlineLevel="0" collapsed="false">
      <c r="A20" s="4" t="s">
        <v>29</v>
      </c>
      <c r="B20" s="5" t="n">
        <f aca="false">COUNTIF(Tracker!F:F,"hybrid")</f>
        <v>1</v>
      </c>
    </row>
    <row r="21" customFormat="false" ht="15" hidden="false" customHeight="false" outlineLevel="0" collapsed="false">
      <c r="A21" s="4" t="s">
        <v>30</v>
      </c>
      <c r="B21" s="5" t="n">
        <f aca="false">COUNTIF(Tracker!F:F,"remote")</f>
        <v>3</v>
      </c>
    </row>
    <row r="22" customFormat="false" ht="15" hidden="false" customHeight="false" outlineLevel="0" collapsed="false">
      <c r="A22" s="4" t="s">
        <v>31</v>
      </c>
      <c r="B22" s="5" t="n">
        <f aca="false">COUNTIF(Tracker!F:F,"freelance")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3" min="2" style="0" width="12"/>
    <col collapsed="false" customWidth="true" hidden="false" outlineLevel="0" max="4" min="4" style="0" width="22"/>
    <col collapsed="false" customWidth="true" hidden="false" outlineLevel="0" max="5" min="5" style="0" width="28"/>
    <col collapsed="false" customWidth="true" hidden="false" outlineLevel="0" max="6" min="6" style="0" width="11"/>
    <col collapsed="false" customWidth="true" hidden="false" outlineLevel="0" max="7" min="7" style="0" width="14"/>
    <col collapsed="false" customWidth="true" hidden="false" outlineLevel="0" max="8" min="8" style="0" width="32"/>
    <col collapsed="false" customWidth="true" hidden="false" outlineLevel="0" max="9" min="9" style="0" width="16"/>
    <col collapsed="false" customWidth="true" hidden="false" outlineLevel="0" max="10" min="10" style="0" width="14"/>
    <col collapsed="false" customWidth="true" hidden="false" outlineLevel="0" max="11" min="11" style="0" width="8"/>
    <col collapsed="false" customWidth="true" hidden="false" outlineLevel="0" max="12" min="12" style="0" width="16"/>
    <col collapsed="false" customWidth="true" hidden="false" outlineLevel="0" max="13" min="13" style="0" width="14"/>
    <col collapsed="false" customWidth="true" hidden="false" outlineLevel="0" max="14" min="14" style="0" width="15"/>
    <col collapsed="false" customWidth="true" hidden="false" outlineLevel="0" max="15" min="15" style="0" width="18"/>
    <col collapsed="false" customWidth="true" hidden="false" outlineLevel="0" max="16" min="16" style="0" width="12"/>
    <col collapsed="false" customWidth="true" hidden="false" outlineLevel="0" max="17" min="17" style="0" width="11"/>
    <col collapsed="false" customWidth="true" hidden="false" outlineLevel="0" max="18" min="18" style="0" width="22"/>
    <col collapsed="false" customWidth="true" hidden="false" outlineLevel="0" max="19" min="19" style="0" width="28"/>
    <col collapsed="false" customWidth="true" hidden="false" outlineLevel="0" max="20" min="20" style="0" width="38"/>
    <col collapsed="false" customWidth="true" hidden="false" outlineLevel="0" max="21" min="21" style="0" width="22"/>
  </cols>
  <sheetData>
    <row r="1" customFormat="false" ht="27.75" hidden="false" customHeight="true" outlineLevel="0" collapsed="false">
      <c r="A1" s="1" t="s">
        <v>32</v>
      </c>
    </row>
    <row r="2" customFormat="false" ht="15" hidden="false" customHeight="false" outlineLevel="0" collapsed="false">
      <c r="A2" s="2" t="s">
        <v>33</v>
      </c>
    </row>
    <row r="4" customFormat="false" ht="27.75" hidden="false" customHeight="true" outlineLevel="0" collapsed="false">
      <c r="A4" s="10" t="s">
        <v>34</v>
      </c>
      <c r="B4" s="10" t="s">
        <v>35</v>
      </c>
      <c r="C4" s="10" t="s">
        <v>36</v>
      </c>
      <c r="D4" s="10" t="s">
        <v>37</v>
      </c>
      <c r="E4" s="10" t="s">
        <v>38</v>
      </c>
      <c r="F4" s="10" t="s">
        <v>39</v>
      </c>
      <c r="G4" s="10" t="s">
        <v>40</v>
      </c>
      <c r="H4" s="10" t="s">
        <v>41</v>
      </c>
      <c r="I4" s="10" t="s">
        <v>42</v>
      </c>
      <c r="J4" s="10" t="s">
        <v>43</v>
      </c>
      <c r="K4" s="10" t="s">
        <v>44</v>
      </c>
      <c r="L4" s="10" t="s">
        <v>45</v>
      </c>
      <c r="M4" s="10" t="s">
        <v>46</v>
      </c>
      <c r="N4" s="10" t="s">
        <v>47</v>
      </c>
      <c r="O4" s="10" t="s">
        <v>48</v>
      </c>
      <c r="P4" s="10" t="s">
        <v>49</v>
      </c>
      <c r="Q4" s="10" t="s">
        <v>50</v>
      </c>
      <c r="R4" s="10" t="s">
        <v>51</v>
      </c>
      <c r="S4" s="10" t="s">
        <v>52</v>
      </c>
      <c r="T4" s="10" t="s">
        <v>53</v>
      </c>
      <c r="U4" s="10" t="s">
        <v>54</v>
      </c>
    </row>
    <row r="5" customFormat="false" ht="28.35" hidden="false" customHeight="false" outlineLevel="0" collapsed="false">
      <c r="A5" s="11" t="n">
        <v>1</v>
      </c>
      <c r="B5" s="11" t="s">
        <v>55</v>
      </c>
      <c r="C5" s="11" t="s">
        <v>56</v>
      </c>
      <c r="D5" s="11" t="s">
        <v>57</v>
      </c>
      <c r="E5" s="11" t="s">
        <v>58</v>
      </c>
      <c r="F5" s="11" t="s">
        <v>59</v>
      </c>
      <c r="G5" s="11" t="s">
        <v>60</v>
      </c>
      <c r="H5" s="11" t="s">
        <v>61</v>
      </c>
      <c r="I5" s="11" t="s">
        <v>62</v>
      </c>
      <c r="J5" s="11" t="s">
        <v>63</v>
      </c>
      <c r="K5" s="11" t="n">
        <v>0.82</v>
      </c>
      <c r="L5" s="11" t="s">
        <v>64</v>
      </c>
      <c r="M5" s="11" t="s">
        <v>65</v>
      </c>
      <c r="N5" s="11" t="s">
        <v>66</v>
      </c>
      <c r="O5" s="11" t="s">
        <v>67</v>
      </c>
      <c r="P5" s="11" t="s">
        <v>68</v>
      </c>
      <c r="Q5" s="12" t="n">
        <f aca="true">IF(P5="","",TODAY()-P5)</f>
        <v>0</v>
      </c>
      <c r="R5" s="11" t="s">
        <v>69</v>
      </c>
      <c r="S5" s="11" t="s">
        <v>70</v>
      </c>
      <c r="T5" s="11" t="s">
        <v>71</v>
      </c>
      <c r="U5" s="11" t="s">
        <v>72</v>
      </c>
    </row>
    <row r="6" customFormat="false" ht="41.75" hidden="false" customHeight="false" outlineLevel="0" collapsed="false">
      <c r="A6" s="11" t="n">
        <v>2</v>
      </c>
      <c r="B6" s="11" t="s">
        <v>73</v>
      </c>
      <c r="C6" s="11" t="s">
        <v>74</v>
      </c>
      <c r="D6" s="11" t="s">
        <v>75</v>
      </c>
      <c r="E6" s="11" t="s">
        <v>76</v>
      </c>
      <c r="F6" s="11" t="s">
        <v>59</v>
      </c>
      <c r="G6" s="11" t="s">
        <v>60</v>
      </c>
      <c r="H6" s="11" t="s">
        <v>77</v>
      </c>
      <c r="I6" s="11" t="s">
        <v>62</v>
      </c>
      <c r="J6" s="11" t="s">
        <v>78</v>
      </c>
      <c r="K6" s="11" t="n">
        <v>0.78</v>
      </c>
      <c r="L6" s="11" t="s">
        <v>79</v>
      </c>
      <c r="M6" s="11" t="s">
        <v>80</v>
      </c>
      <c r="N6" s="11" t="s">
        <v>81</v>
      </c>
      <c r="O6" s="11" t="s">
        <v>67</v>
      </c>
      <c r="P6" s="11" t="s">
        <v>82</v>
      </c>
      <c r="Q6" s="12" t="n">
        <f aca="true">IF(P6="","",TODAY()-P6)</f>
        <v>1</v>
      </c>
      <c r="R6" s="11" t="s">
        <v>83</v>
      </c>
      <c r="S6" s="11" t="s">
        <v>84</v>
      </c>
      <c r="T6" s="11" t="s">
        <v>85</v>
      </c>
      <c r="U6" s="11" t="s">
        <v>86</v>
      </c>
    </row>
    <row r="7" customFormat="false" ht="28.35" hidden="false" customHeight="false" outlineLevel="0" collapsed="false">
      <c r="A7" s="11" t="n">
        <v>3</v>
      </c>
      <c r="B7" s="11" t="s">
        <v>82</v>
      </c>
      <c r="C7" s="11" t="s">
        <v>82</v>
      </c>
      <c r="D7" s="11" t="s">
        <v>87</v>
      </c>
      <c r="E7" s="11" t="s">
        <v>88</v>
      </c>
      <c r="F7" s="11" t="s">
        <v>59</v>
      </c>
      <c r="G7" s="11" t="s">
        <v>60</v>
      </c>
      <c r="H7" s="11" t="s">
        <v>89</v>
      </c>
      <c r="I7" s="11" t="s">
        <v>90</v>
      </c>
      <c r="J7" s="11" t="s">
        <v>91</v>
      </c>
      <c r="K7" s="11" t="n">
        <v>0.61</v>
      </c>
      <c r="L7" s="11" t="s">
        <v>92</v>
      </c>
      <c r="M7" s="11" t="s">
        <v>93</v>
      </c>
      <c r="N7" s="11" t="s">
        <v>94</v>
      </c>
      <c r="O7" s="11" t="s">
        <v>95</v>
      </c>
      <c r="P7" s="11" t="s">
        <v>82</v>
      </c>
      <c r="Q7" s="12" t="n">
        <f aca="true">IF(P7="","",TODAY()-P7)</f>
        <v>1</v>
      </c>
      <c r="R7" s="11"/>
      <c r="S7" s="11"/>
      <c r="T7" s="11" t="s">
        <v>96</v>
      </c>
      <c r="U7" s="11" t="s">
        <v>97</v>
      </c>
    </row>
    <row r="8" customFormat="false" ht="41.75" hidden="false" customHeight="false" outlineLevel="0" collapsed="false">
      <c r="A8" s="11" t="n">
        <v>4</v>
      </c>
      <c r="B8" s="11" t="s">
        <v>98</v>
      </c>
      <c r="C8" s="11"/>
      <c r="D8" s="11" t="s">
        <v>99</v>
      </c>
      <c r="E8" s="11" t="s">
        <v>100</v>
      </c>
      <c r="F8" s="11" t="s">
        <v>101</v>
      </c>
      <c r="G8" s="11" t="s">
        <v>102</v>
      </c>
      <c r="H8" s="11" t="s">
        <v>103</v>
      </c>
      <c r="I8" s="11" t="s">
        <v>104</v>
      </c>
      <c r="J8" s="11" t="s">
        <v>105</v>
      </c>
      <c r="K8" s="11" t="n">
        <v>0.55</v>
      </c>
      <c r="L8" s="11" t="s">
        <v>106</v>
      </c>
      <c r="M8" s="11" t="s">
        <v>107</v>
      </c>
      <c r="N8" s="11" t="s">
        <v>108</v>
      </c>
      <c r="O8" s="11" t="s">
        <v>109</v>
      </c>
      <c r="P8" s="11" t="s">
        <v>98</v>
      </c>
      <c r="Q8" s="12" t="n">
        <f aca="true">IF(P8="","",TODAY()-P8)</f>
        <v>9</v>
      </c>
      <c r="R8" s="11"/>
      <c r="S8" s="11"/>
      <c r="T8" s="11" t="s">
        <v>110</v>
      </c>
      <c r="U8" s="11"/>
    </row>
    <row r="9" customFormat="false" ht="15" hidden="false" customHeight="false" outlineLevel="0" collapsed="false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 t="str">
        <f aca="true">IF(P9="","",TODAY()-P9)</f>
        <v/>
      </c>
      <c r="R9" s="13"/>
      <c r="S9" s="13"/>
      <c r="T9" s="13"/>
      <c r="U9" s="13"/>
    </row>
    <row r="10" customFormat="false" ht="15" hidden="false" customHeight="false" outlineLevel="0" collapsed="false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 t="str">
        <f aca="true">IF(P10="","",TODAY()-P10)</f>
        <v/>
      </c>
      <c r="R10" s="13"/>
      <c r="S10" s="13"/>
      <c r="T10" s="13"/>
      <c r="U10" s="13"/>
    </row>
    <row r="11" customFormat="false" ht="15" hidden="false" customHeight="false" outlineLevel="0" collapsed="false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 t="str">
        <f aca="true">IF(P11="","",TODAY()-P11)</f>
        <v/>
      </c>
      <c r="R11" s="13"/>
      <c r="S11" s="13"/>
      <c r="T11" s="13"/>
      <c r="U11" s="13"/>
    </row>
    <row r="12" customFormat="false" ht="15" hidden="false" customHeight="false" outlineLevel="0" collapsed="false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 t="str">
        <f aca="true">IF(P12="","",TODAY()-P12)</f>
        <v/>
      </c>
      <c r="R12" s="13"/>
      <c r="S12" s="13"/>
      <c r="T12" s="13"/>
      <c r="U12" s="13"/>
    </row>
    <row r="13" customFormat="false" ht="15" hidden="false" customHeight="false" outlineLevel="0" collapsed="false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 t="str">
        <f aca="true">IF(P13="","",TODAY()-P13)</f>
        <v/>
      </c>
      <c r="R13" s="13"/>
      <c r="S13" s="13"/>
      <c r="T13" s="13"/>
      <c r="U13" s="13"/>
    </row>
    <row r="14" customFormat="false" ht="15" hidden="false" customHeight="false" outlineLevel="0" collapsed="false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 t="str">
        <f aca="true">IF(P14="","",TODAY()-P14)</f>
        <v/>
      </c>
      <c r="R14" s="13"/>
      <c r="S14" s="13"/>
      <c r="T14" s="13"/>
      <c r="U14" s="13"/>
    </row>
    <row r="15" customFormat="false" ht="15" hidden="false" customHeight="false" outlineLevel="0" collapsed="false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 t="str">
        <f aca="true">IF(P15="","",TODAY()-P15)</f>
        <v/>
      </c>
      <c r="R15" s="13"/>
      <c r="S15" s="13"/>
      <c r="T15" s="13"/>
      <c r="U15" s="13"/>
    </row>
    <row r="16" customFormat="false" ht="15" hidden="false" customHeight="false" outlineLevel="0" collapsed="false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 t="str">
        <f aca="true">IF(P16="","",TODAY()-P16)</f>
        <v/>
      </c>
      <c r="R16" s="13"/>
      <c r="S16" s="13"/>
      <c r="T16" s="13"/>
      <c r="U16" s="13"/>
    </row>
    <row r="17" customFormat="false" ht="15" hidden="false" customHeight="false" outlineLevel="0" collapsed="false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 t="str">
        <f aca="true">IF(P17="","",TODAY()-P17)</f>
        <v/>
      </c>
      <c r="R17" s="13"/>
      <c r="S17" s="13"/>
      <c r="T17" s="13"/>
      <c r="U17" s="13"/>
    </row>
    <row r="18" customFormat="false" ht="15" hidden="false" customHeight="false" outlineLevel="0" collapsed="false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 t="str">
        <f aca="true">IF(P18="","",TODAY()-P18)</f>
        <v/>
      </c>
      <c r="R18" s="13"/>
      <c r="S18" s="13"/>
      <c r="T18" s="13"/>
      <c r="U18" s="13"/>
    </row>
    <row r="19" customFormat="false" ht="15" hidden="false" customHeight="false" outlineLevel="0" collapsed="false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 t="str">
        <f aca="true">IF(P19="","",TODAY()-P19)</f>
        <v/>
      </c>
      <c r="R19" s="13"/>
      <c r="S19" s="13"/>
      <c r="T19" s="13"/>
      <c r="U19" s="13"/>
    </row>
    <row r="20" customFormat="false" ht="15" hidden="false" customHeight="false" outlineLevel="0" collapsed="false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 t="str">
        <f aca="true">IF(P20="","",TODAY()-P20)</f>
        <v/>
      </c>
      <c r="R20" s="13"/>
      <c r="S20" s="13"/>
      <c r="T20" s="13"/>
      <c r="U20" s="13"/>
    </row>
    <row r="21" customFormat="false" ht="15" hidden="false" customHeight="false" outlineLevel="0" collapsed="false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 t="str">
        <f aca="true">IF(P21="","",TODAY()-P21)</f>
        <v/>
      </c>
      <c r="R21" s="13"/>
      <c r="S21" s="13"/>
      <c r="T21" s="13"/>
      <c r="U21" s="13"/>
    </row>
    <row r="22" customFormat="false" ht="15" hidden="false" customHeight="false" outlineLevel="0" collapsed="false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 t="str">
        <f aca="true">IF(P22="","",TODAY()-P22)</f>
        <v/>
      </c>
      <c r="R22" s="13"/>
      <c r="S22" s="13"/>
      <c r="T22" s="13"/>
      <c r="U22" s="13"/>
    </row>
    <row r="23" customFormat="false" ht="15" hidden="false" customHeight="false" outlineLevel="0" collapsed="false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 t="str">
        <f aca="true">IF(P23="","",TODAY()-P23)</f>
        <v/>
      </c>
      <c r="R23" s="13"/>
      <c r="S23" s="13"/>
      <c r="T23" s="13"/>
      <c r="U23" s="13"/>
    </row>
    <row r="24" customFormat="false" ht="15" hidden="false" customHeight="false" outlineLevel="0" collapsed="false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 t="str">
        <f aca="true">IF(P24="","",TODAY()-P24)</f>
        <v/>
      </c>
      <c r="R24" s="13"/>
      <c r="S24" s="13"/>
      <c r="T24" s="13"/>
      <c r="U24" s="13"/>
    </row>
    <row r="25" customFormat="false" ht="15" hidden="false" customHeight="false" outlineLevel="0" collapsed="false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 t="str">
        <f aca="true">IF(P25="","",TODAY()-P25)</f>
        <v/>
      </c>
      <c r="R25" s="13"/>
      <c r="S25" s="13"/>
      <c r="T25" s="13"/>
      <c r="U25" s="13"/>
    </row>
    <row r="26" customFormat="false" ht="15" hidden="false" customHeight="false" outlineLevel="0" collapsed="false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 t="str">
        <f aca="true">IF(P26="","",TODAY()-P26)</f>
        <v/>
      </c>
      <c r="R26" s="13"/>
      <c r="S26" s="13"/>
      <c r="T26" s="13"/>
      <c r="U26" s="13"/>
    </row>
    <row r="27" customFormat="false" ht="15" hidden="false" customHeight="false" outlineLevel="0" collapsed="false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 t="str">
        <f aca="true">IF(P27="","",TODAY()-P27)</f>
        <v/>
      </c>
      <c r="R27" s="13"/>
      <c r="S27" s="13"/>
      <c r="T27" s="13"/>
      <c r="U27" s="13"/>
    </row>
    <row r="28" customFormat="false" ht="15" hidden="false" customHeight="false" outlineLevel="0" collapsed="false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 t="str">
        <f aca="true">IF(P28="","",TODAY()-P28)</f>
        <v/>
      </c>
      <c r="R28" s="13"/>
      <c r="S28" s="13"/>
      <c r="T28" s="13"/>
      <c r="U28" s="13"/>
    </row>
    <row r="29" customFormat="false" ht="15" hidden="false" customHeight="false" outlineLevel="0" collapsed="false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 t="str">
        <f aca="true">IF(P29="","",TODAY()-P29)</f>
        <v/>
      </c>
      <c r="R29" s="13"/>
      <c r="S29" s="13"/>
      <c r="T29" s="13"/>
      <c r="U29" s="13"/>
    </row>
    <row r="30" customFormat="false" ht="15" hidden="false" customHeight="false" outlineLevel="0" collapsed="false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 t="str">
        <f aca="true">IF(P30="","",TODAY()-P30)</f>
        <v/>
      </c>
      <c r="R30" s="13"/>
      <c r="S30" s="13"/>
      <c r="T30" s="13"/>
      <c r="U30" s="13"/>
    </row>
    <row r="31" customFormat="false" ht="15" hidden="false" customHeight="false" outlineLevel="0" collapsed="false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 t="str">
        <f aca="true">IF(P31="","",TODAY()-P31)</f>
        <v/>
      </c>
      <c r="R31" s="13"/>
      <c r="S31" s="13"/>
      <c r="T31" s="13"/>
      <c r="U31" s="13"/>
    </row>
    <row r="32" customFormat="false" ht="15" hidden="false" customHeight="false" outlineLevel="0" collapsed="false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 t="str">
        <f aca="true">IF(P32="","",TODAY()-P32)</f>
        <v/>
      </c>
      <c r="R32" s="13"/>
      <c r="S32" s="13"/>
      <c r="T32" s="13"/>
      <c r="U32" s="13"/>
    </row>
    <row r="33" customFormat="false" ht="15" hidden="false" customHeight="false" outlineLevel="0" collapsed="false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 t="str">
        <f aca="true">IF(P33="","",TODAY()-P33)</f>
        <v/>
      </c>
      <c r="R33" s="13"/>
      <c r="S33" s="13"/>
      <c r="T33" s="13"/>
      <c r="U33" s="13"/>
    </row>
    <row r="34" customFormat="false" ht="15" hidden="false" customHeight="false" outlineLevel="0" collapsed="false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 t="str">
        <f aca="true">IF(P34="","",TODAY()-P34)</f>
        <v/>
      </c>
      <c r="R34" s="13"/>
      <c r="S34" s="13"/>
      <c r="T34" s="13"/>
      <c r="U34" s="13"/>
    </row>
    <row r="35" customFormat="false" ht="15" hidden="false" customHeight="false" outlineLevel="0" collapsed="false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 t="str">
        <f aca="true">IF(P35="","",TODAY()-P35)</f>
        <v/>
      </c>
      <c r="R35" s="13"/>
      <c r="S35" s="13"/>
      <c r="T35" s="13"/>
      <c r="U35" s="13"/>
    </row>
    <row r="36" customFormat="false" ht="15" hidden="false" customHeight="false" outlineLevel="0" collapsed="false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 t="str">
        <f aca="true">IF(P36="","",TODAY()-P36)</f>
        <v/>
      </c>
      <c r="R36" s="13"/>
      <c r="S36" s="13"/>
      <c r="T36" s="13"/>
      <c r="U36" s="13"/>
    </row>
    <row r="37" customFormat="false" ht="15" hidden="false" customHeight="false" outlineLevel="0" collapsed="false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 t="str">
        <f aca="true">IF(P37="","",TODAY()-P37)</f>
        <v/>
      </c>
      <c r="R37" s="13"/>
      <c r="S37" s="13"/>
      <c r="T37" s="13"/>
      <c r="U37" s="13"/>
    </row>
    <row r="38" customFormat="false" ht="15" hidden="false" customHeight="false" outlineLevel="0" collapsed="false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 t="str">
        <f aca="true">IF(P38="","",TODAY()-P38)</f>
        <v/>
      </c>
      <c r="R38" s="13"/>
      <c r="S38" s="13"/>
      <c r="T38" s="13"/>
      <c r="U38" s="13"/>
    </row>
    <row r="39" customFormat="false" ht="15" hidden="false" customHeight="false" outlineLevel="0" collapsed="false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 t="str">
        <f aca="true">IF(P39="","",TODAY()-P39)</f>
        <v/>
      </c>
      <c r="R39" s="13"/>
      <c r="S39" s="13"/>
      <c r="T39" s="13"/>
      <c r="U39" s="13"/>
    </row>
    <row r="40" customFormat="false" ht="15" hidden="false" customHeight="false" outlineLevel="0" collapsed="false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 t="str">
        <f aca="true">IF(P40="","",TODAY()-P40)</f>
        <v/>
      </c>
      <c r="R40" s="13"/>
      <c r="S40" s="13"/>
      <c r="T40" s="13"/>
      <c r="U40" s="13"/>
    </row>
    <row r="41" customFormat="false" ht="15" hidden="false" customHeight="false" outlineLevel="0" collapsed="false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 t="str">
        <f aca="true">IF(P41="","",TODAY()-P41)</f>
        <v/>
      </c>
      <c r="R41" s="13"/>
      <c r="S41" s="13"/>
      <c r="T41" s="13"/>
      <c r="U41" s="13"/>
    </row>
    <row r="42" customFormat="false" ht="15" hidden="false" customHeight="false" outlineLevel="0" collapsed="false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 t="str">
        <f aca="true">IF(P42="","",TODAY()-P42)</f>
        <v/>
      </c>
      <c r="R42" s="13"/>
      <c r="S42" s="13"/>
      <c r="T42" s="13"/>
      <c r="U42" s="13"/>
    </row>
    <row r="43" customFormat="false" ht="15" hidden="false" customHeight="false" outlineLevel="0" collapsed="false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 t="str">
        <f aca="true">IF(P43="","",TODAY()-P43)</f>
        <v/>
      </c>
      <c r="R43" s="13"/>
      <c r="S43" s="13"/>
      <c r="T43" s="13"/>
      <c r="U43" s="13"/>
    </row>
    <row r="44" customFormat="false" ht="15" hidden="false" customHeight="false" outlineLevel="0" collapsed="false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 t="str">
        <f aca="true">IF(P44="","",TODAY()-P44)</f>
        <v/>
      </c>
      <c r="R44" s="13"/>
      <c r="S44" s="13"/>
      <c r="T44" s="13"/>
      <c r="U44" s="13"/>
    </row>
    <row r="45" customFormat="false" ht="15" hidden="false" customHeight="false" outlineLevel="0" collapsed="false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 t="str">
        <f aca="true">IF(P45="","",TODAY()-P45)</f>
        <v/>
      </c>
      <c r="R45" s="13"/>
      <c r="S45" s="13"/>
      <c r="T45" s="13"/>
      <c r="U45" s="13"/>
    </row>
    <row r="46" customFormat="false" ht="15" hidden="false" customHeight="false" outlineLevel="0" collapsed="false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 t="str">
        <f aca="true">IF(P46="","",TODAY()-P46)</f>
        <v/>
      </c>
      <c r="R46" s="13"/>
      <c r="S46" s="13"/>
      <c r="T46" s="13"/>
      <c r="U46" s="13"/>
    </row>
    <row r="47" customFormat="false" ht="15" hidden="false" customHeight="false" outlineLevel="0" collapsed="false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 t="str">
        <f aca="true">IF(P47="","",TODAY()-P47)</f>
        <v/>
      </c>
      <c r="R47" s="13"/>
      <c r="S47" s="13"/>
      <c r="T47" s="13"/>
      <c r="U47" s="13"/>
    </row>
    <row r="48" customFormat="false" ht="15" hidden="false" customHeight="false" outlineLevel="0" collapsed="false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 t="str">
        <f aca="true">IF(P48="","",TODAY()-P48)</f>
        <v/>
      </c>
      <c r="R48" s="13"/>
      <c r="S48" s="13"/>
      <c r="T48" s="13"/>
      <c r="U48" s="13"/>
    </row>
    <row r="49" customFormat="false" ht="15" hidden="false" customHeight="false" outlineLevel="0" collapsed="false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 t="str">
        <f aca="true">IF(P49="","",TODAY()-P49)</f>
        <v/>
      </c>
      <c r="R49" s="13"/>
      <c r="S49" s="13"/>
      <c r="T49" s="13"/>
      <c r="U49" s="13"/>
    </row>
    <row r="50" customFormat="false" ht="15" hidden="false" customHeight="false" outlineLevel="0" collapsed="false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 t="str">
        <f aca="true">IF(P50="","",TODAY()-P50)</f>
        <v/>
      </c>
      <c r="R50" s="13"/>
      <c r="S50" s="13"/>
      <c r="T50" s="13"/>
      <c r="U50" s="13"/>
    </row>
    <row r="51" customFormat="false" ht="15" hidden="false" customHeight="false" outlineLevel="0" collapsed="false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 t="str">
        <f aca="true">IF(P51="","",TODAY()-P51)</f>
        <v/>
      </c>
      <c r="R51" s="13"/>
      <c r="S51" s="13"/>
      <c r="T51" s="13"/>
      <c r="U51" s="13"/>
    </row>
    <row r="52" customFormat="false" ht="15" hidden="false" customHeight="false" outlineLevel="0" collapsed="false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 t="str">
        <f aca="true">IF(P52="","",TODAY()-P52)</f>
        <v/>
      </c>
      <c r="R52" s="13"/>
      <c r="S52" s="13"/>
      <c r="T52" s="13"/>
      <c r="U52" s="13"/>
    </row>
    <row r="53" customFormat="false" ht="15" hidden="false" customHeight="false" outlineLevel="0" collapsed="false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 t="str">
        <f aca="true">IF(P53="","",TODAY()-P53)</f>
        <v/>
      </c>
      <c r="R53" s="13"/>
      <c r="S53" s="13"/>
      <c r="T53" s="13"/>
      <c r="U53" s="13"/>
    </row>
    <row r="54" customFormat="false" ht="15" hidden="false" customHeight="false" outlineLevel="0" collapsed="false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 t="str">
        <f aca="true">IF(P54="","",TODAY()-P54)</f>
        <v/>
      </c>
      <c r="R54" s="13"/>
      <c r="S54" s="13"/>
      <c r="T54" s="13"/>
      <c r="U54" s="13"/>
    </row>
    <row r="55" customFormat="false" ht="15" hidden="false" customHeight="false" outlineLevel="0" collapsed="false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 t="str">
        <f aca="true">IF(P55="","",TODAY()-P55)</f>
        <v/>
      </c>
      <c r="R55" s="13"/>
      <c r="S55" s="13"/>
      <c r="T55" s="13"/>
      <c r="U55" s="13"/>
    </row>
    <row r="56" customFormat="false" ht="15" hidden="false" customHeight="false" outlineLevel="0" collapsed="false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 t="str">
        <f aca="true">IF(P56="","",TODAY()-P56)</f>
        <v/>
      </c>
      <c r="R56" s="13"/>
      <c r="S56" s="13"/>
      <c r="T56" s="13"/>
      <c r="U56" s="13"/>
    </row>
    <row r="57" customFormat="false" ht="15" hidden="false" customHeight="false" outlineLevel="0" collapsed="false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 t="str">
        <f aca="true">IF(P57="","",TODAY()-P57)</f>
        <v/>
      </c>
      <c r="R57" s="13"/>
      <c r="S57" s="13"/>
      <c r="T57" s="13"/>
      <c r="U57" s="13"/>
    </row>
    <row r="58" customFormat="false" ht="15" hidden="false" customHeight="false" outlineLevel="0" collapsed="false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 t="str">
        <f aca="true">IF(P58="","",TODAY()-P58)</f>
        <v/>
      </c>
      <c r="R58" s="13"/>
      <c r="S58" s="13"/>
      <c r="T58" s="13"/>
      <c r="U58" s="13"/>
    </row>
  </sheetData>
  <conditionalFormatting sqref="N5:N58">
    <cfRule type="cellIs" priority="2" operator="equal" aboveAverage="0" equalAverage="0" bottom="0" percent="0" rank="0" text="" dxfId="0">
      <formula>"Saved"</formula>
    </cfRule>
    <cfRule type="cellIs" priority="3" operator="equal" aboveAverage="0" equalAverage="0" bottom="0" percent="0" rank="0" text="" dxfId="1">
      <formula>"Applied"</formula>
    </cfRule>
    <cfRule type="cellIs" priority="4" operator="equal" aboveAverage="0" equalAverage="0" bottom="0" percent="0" rank="0" text="" dxfId="2">
      <formula>"In Review"</formula>
    </cfRule>
    <cfRule type="cellIs" priority="5" operator="equal" aboveAverage="0" equalAverage="0" bottom="0" percent="0" rank="0" text="" dxfId="2">
      <formula>"Phone Screen"</formula>
    </cfRule>
    <cfRule type="cellIs" priority="6" operator="equal" aboveAverage="0" equalAverage="0" bottom="0" percent="0" rank="0" text="" dxfId="2">
      <formula>"Interview R1"</formula>
    </cfRule>
    <cfRule type="cellIs" priority="7" operator="equal" aboveAverage="0" equalAverage="0" bottom="0" percent="0" rank="0" text="" dxfId="2">
      <formula>"Interview R2"</formula>
    </cfRule>
    <cfRule type="cellIs" priority="8" operator="equal" aboveAverage="0" equalAverage="0" bottom="0" percent="0" rank="0" text="" dxfId="2">
      <formula>"Interview R3"</formula>
    </cfRule>
    <cfRule type="cellIs" priority="9" operator="equal" aboveAverage="0" equalAverage="0" bottom="0" percent="0" rank="0" text="" dxfId="2">
      <formula>"Take-Home"</formula>
    </cfRule>
    <cfRule type="cellIs" priority="10" operator="equal" aboveAverage="0" equalAverage="0" bottom="0" percent="0" rank="0" text="" dxfId="3">
      <formula>"Offer"</formula>
    </cfRule>
    <cfRule type="cellIs" priority="11" operator="equal" aboveAverage="0" equalAverage="0" bottom="0" percent="0" rank="0" text="" dxfId="3">
      <formula>"Negotiating"</formula>
    </cfRule>
    <cfRule type="cellIs" priority="12" operator="equal" aboveAverage="0" equalAverage="0" bottom="0" percent="0" rank="0" text="" dxfId="3">
      <formula>"Accepted"</formula>
    </cfRule>
    <cfRule type="cellIs" priority="13" operator="equal" aboveAverage="0" equalAverage="0" bottom="0" percent="0" rank="0" text="" dxfId="4">
      <formula>"Rejected"</formula>
    </cfRule>
    <cfRule type="cellIs" priority="14" operator="equal" aboveAverage="0" equalAverage="0" bottom="0" percent="0" rank="0" text="" dxfId="5">
      <formula>"Withdrew"</formula>
    </cfRule>
    <cfRule type="cellIs" priority="15" operator="equal" aboveAverage="0" equalAverage="0" bottom="0" percent="0" rank="0" text="" dxfId="4">
      <formula>"Ghosted"</formula>
    </cfRule>
    <cfRule type="cellIs" priority="16" operator="equal" aboveAverage="0" equalAverage="0" bottom="0" percent="0" rank="0" text="" dxfId="5">
      <formula>"Closed"</formula>
    </cfRule>
  </conditionalFormatting>
  <conditionalFormatting sqref="Q5:Q58">
    <cfRule type="cellIs" priority="17" operator="greaterThan" aboveAverage="0" equalAverage="0" bottom="0" percent="0" rank="0" text="" dxfId="6">
      <formula>21</formula>
    </cfRule>
  </conditionalFormatting>
  <dataValidations count="3">
    <dataValidation allowBlank="true" errorStyle="stop" operator="between" showDropDown="false" showErrorMessage="false" showInputMessage="false" sqref="N5:N58" type="list">
      <formula1>"Saved,Applied,In Review,Phone Screen,Interview R1,Interview R2,Interview R3,Take-Home,Offer,Negotiating,Accepted,Rejected,Withdrew,Ghosted,Closed"</formula1>
      <formula2>0</formula2>
    </dataValidation>
    <dataValidation allowBlank="true" errorStyle="stop" operator="between" showDropDown="false" showErrorMessage="false" showInputMessage="false" sqref="O5:O58" type="list">
      <formula1>"Awaiting Response,Responded,Auto-Rejected,No Response (&gt;21d)"</formula1>
      <formula2>0</formula2>
    </dataValidation>
    <dataValidation allowBlank="true" errorStyle="stop" operator="between" showDropDown="false" showErrorMessage="false" showInputMessage="false" sqref="F5:F58" type="list">
      <formula1>"onsite,hybrid,remote,freelance"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8"/>
    <col collapsed="false" customWidth="true" hidden="false" outlineLevel="0" max="3" min="3" style="0" width="24"/>
    <col collapsed="false" customWidth="true" hidden="false" outlineLevel="0" max="4" min="4" style="0" width="10"/>
    <col collapsed="false" customWidth="true" hidden="false" outlineLevel="0" max="5" min="5" style="0" width="20"/>
    <col collapsed="false" customWidth="true" hidden="false" outlineLevel="0" max="6" min="6" style="0" width="12"/>
    <col collapsed="false" customWidth="true" hidden="false" outlineLevel="0" max="7" min="7" style="0" width="8"/>
    <col collapsed="false" customWidth="true" hidden="false" outlineLevel="0" max="8" min="8" style="0" width="12"/>
    <col collapsed="false" customWidth="true" hidden="false" outlineLevel="0" max="9" min="9" style="0" width="20"/>
    <col collapsed="false" customWidth="true" hidden="false" outlineLevel="0" max="10" min="10" style="0" width="24"/>
    <col collapsed="false" customWidth="true" hidden="false" outlineLevel="0" max="11" min="11" style="0" width="28"/>
    <col collapsed="false" customWidth="true" hidden="false" outlineLevel="0" max="13" min="12" style="0" width="14"/>
    <col collapsed="false" customWidth="true" hidden="false" outlineLevel="0" max="14" min="14" style="0" width="12"/>
    <col collapsed="false" customWidth="true" hidden="false" outlineLevel="0" max="15" min="15" style="0" width="38"/>
    <col collapsed="false" customWidth="true" hidden="false" outlineLevel="0" max="18" min="16" style="0" width="30"/>
    <col collapsed="false" customWidth="true" hidden="false" outlineLevel="0" max="20" min="19" style="0" width="14"/>
    <col collapsed="false" customWidth="true" hidden="false" outlineLevel="0" max="21" min="21" style="0" width="38"/>
  </cols>
  <sheetData>
    <row r="1" customFormat="false" ht="27.75" hidden="false" customHeight="true" outlineLevel="0" collapsed="false">
      <c r="A1" s="1" t="s">
        <v>111</v>
      </c>
    </row>
    <row r="2" customFormat="false" ht="15" hidden="false" customHeight="false" outlineLevel="0" collapsed="false">
      <c r="A2" s="2" t="s">
        <v>112</v>
      </c>
    </row>
    <row r="4" customFormat="false" ht="27.75" hidden="false" customHeight="true" outlineLevel="0" collapsed="false">
      <c r="A4" s="10" t="s">
        <v>113</v>
      </c>
      <c r="B4" s="10" t="s">
        <v>37</v>
      </c>
      <c r="C4" s="10" t="s">
        <v>38</v>
      </c>
      <c r="D4" s="10" t="s">
        <v>114</v>
      </c>
      <c r="E4" s="10" t="s">
        <v>115</v>
      </c>
      <c r="F4" s="10" t="s">
        <v>116</v>
      </c>
      <c r="G4" s="10" t="s">
        <v>117</v>
      </c>
      <c r="H4" s="10" t="s">
        <v>118</v>
      </c>
      <c r="I4" s="10" t="s">
        <v>119</v>
      </c>
      <c r="J4" s="10" t="s">
        <v>120</v>
      </c>
      <c r="K4" s="10" t="s">
        <v>121</v>
      </c>
      <c r="L4" s="10" t="s">
        <v>122</v>
      </c>
      <c r="M4" s="10" t="s">
        <v>123</v>
      </c>
      <c r="N4" s="10" t="s">
        <v>124</v>
      </c>
      <c r="O4" s="10" t="s">
        <v>125</v>
      </c>
      <c r="P4" s="10" t="s">
        <v>126</v>
      </c>
      <c r="Q4" s="10" t="s">
        <v>127</v>
      </c>
      <c r="R4" s="10" t="s">
        <v>128</v>
      </c>
      <c r="S4" s="10" t="s">
        <v>129</v>
      </c>
      <c r="T4" s="10" t="s">
        <v>130</v>
      </c>
      <c r="U4" s="10" t="s">
        <v>53</v>
      </c>
    </row>
    <row r="5" customFormat="false" ht="78" hidden="false" customHeight="true" outlineLevel="0" collapsed="false">
      <c r="A5" s="14" t="n">
        <v>1</v>
      </c>
      <c r="B5" s="14" t="s">
        <v>57</v>
      </c>
      <c r="C5" s="14" t="s">
        <v>131</v>
      </c>
      <c r="D5" s="14" t="s">
        <v>132</v>
      </c>
      <c r="E5" s="14" t="s">
        <v>133</v>
      </c>
      <c r="F5" s="14" t="s">
        <v>134</v>
      </c>
      <c r="G5" s="14" t="s">
        <v>135</v>
      </c>
      <c r="H5" s="14" t="n">
        <v>30</v>
      </c>
      <c r="I5" s="14" t="s">
        <v>69</v>
      </c>
      <c r="J5" s="14" t="s">
        <v>136</v>
      </c>
      <c r="K5" s="14" t="s">
        <v>137</v>
      </c>
      <c r="L5" s="14" t="s">
        <v>138</v>
      </c>
      <c r="M5" s="14" t="s">
        <v>139</v>
      </c>
      <c r="N5" s="14" t="s">
        <v>140</v>
      </c>
      <c r="O5" s="14" t="s">
        <v>141</v>
      </c>
      <c r="P5" s="14" t="s">
        <v>142</v>
      </c>
      <c r="Q5" s="14" t="s">
        <v>143</v>
      </c>
      <c r="R5" s="14" t="s">
        <v>144</v>
      </c>
      <c r="S5" s="14" t="s">
        <v>145</v>
      </c>
      <c r="T5" s="14" t="s">
        <v>145</v>
      </c>
      <c r="U5" s="14" t="s">
        <v>146</v>
      </c>
    </row>
    <row r="6" customFormat="false" ht="78" hidden="false" customHeight="true" outlineLevel="0" collapsed="false">
      <c r="A6" s="14" t="n">
        <v>2</v>
      </c>
      <c r="B6" s="14" t="s">
        <v>75</v>
      </c>
      <c r="C6" s="14" t="s">
        <v>76</v>
      </c>
      <c r="D6" s="14" t="s">
        <v>132</v>
      </c>
      <c r="E6" s="14" t="s">
        <v>147</v>
      </c>
      <c r="F6" s="14" t="s">
        <v>148</v>
      </c>
      <c r="G6" s="14" t="s">
        <v>149</v>
      </c>
      <c r="H6" s="14" t="n">
        <v>60</v>
      </c>
      <c r="I6" s="14" t="s">
        <v>83</v>
      </c>
      <c r="J6" s="14" t="s">
        <v>150</v>
      </c>
      <c r="K6" s="14" t="s">
        <v>151</v>
      </c>
      <c r="L6" s="14" t="s">
        <v>152</v>
      </c>
      <c r="M6" s="14" t="s">
        <v>139</v>
      </c>
      <c r="N6" s="14" t="s">
        <v>140</v>
      </c>
      <c r="O6" s="14" t="s">
        <v>153</v>
      </c>
      <c r="P6" s="14" t="s">
        <v>154</v>
      </c>
      <c r="Q6" s="14" t="s">
        <v>155</v>
      </c>
      <c r="R6" s="14" t="s">
        <v>156</v>
      </c>
      <c r="S6" s="14" t="s">
        <v>145</v>
      </c>
      <c r="T6" s="14" t="s">
        <v>145</v>
      </c>
      <c r="U6" s="14" t="s">
        <v>157</v>
      </c>
    </row>
    <row r="7" customFormat="false" ht="78" hidden="false" customHeight="true" outlineLevel="0" collapsed="false">
      <c r="A7" s="14" t="n">
        <v>2</v>
      </c>
      <c r="B7" s="14" t="s">
        <v>75</v>
      </c>
      <c r="C7" s="14" t="s">
        <v>76</v>
      </c>
      <c r="D7" s="14" t="s">
        <v>158</v>
      </c>
      <c r="E7" s="14" t="s">
        <v>159</v>
      </c>
      <c r="F7" s="14" t="s">
        <v>160</v>
      </c>
      <c r="G7" s="14" t="s">
        <v>135</v>
      </c>
      <c r="H7" s="14" t="n">
        <v>45</v>
      </c>
      <c r="I7" s="14" t="s">
        <v>161</v>
      </c>
      <c r="J7" s="14" t="s">
        <v>162</v>
      </c>
      <c r="K7" s="14" t="s">
        <v>163</v>
      </c>
      <c r="L7" s="14" t="s">
        <v>152</v>
      </c>
      <c r="M7" s="14" t="s">
        <v>164</v>
      </c>
      <c r="N7" s="14" t="s">
        <v>165</v>
      </c>
      <c r="O7" s="14" t="s">
        <v>166</v>
      </c>
      <c r="P7" s="14" t="s">
        <v>167</v>
      </c>
      <c r="Q7" s="14" t="s">
        <v>168</v>
      </c>
      <c r="R7" s="14" t="s">
        <v>169</v>
      </c>
      <c r="S7" s="14"/>
      <c r="T7" s="14"/>
      <c r="U7" s="14" t="s">
        <v>170</v>
      </c>
    </row>
    <row r="8" customFormat="false" ht="15" hidden="false" customHeight="false" outlineLevel="0" collapsed="false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</row>
    <row r="9" customFormat="false" ht="15" hidden="false" customHeight="false" outlineLevel="0" collapsed="false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</row>
    <row r="10" customFormat="false" ht="15" hidden="false" customHeight="false" outlineLevel="0" collapsed="false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</row>
    <row r="11" customFormat="false" ht="15" hidden="false" customHeight="false" outlineLevel="0" collapsed="false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</row>
    <row r="12" customFormat="false" ht="15" hidden="false" customHeight="false" outlineLevel="0" collapsed="false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</row>
    <row r="13" customFormat="false" ht="15" hidden="false" customHeight="false" outlineLevel="0" collapsed="false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</row>
    <row r="14" customFormat="false" ht="15" hidden="false" customHeight="false" outlineLevel="0" collapsed="false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</row>
    <row r="15" customFormat="false" ht="15" hidden="false" customHeight="false" outlineLevel="0" collapsed="false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</row>
    <row r="16" customFormat="false" ht="15" hidden="false" customHeight="false" outlineLevel="0" collapsed="false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</row>
    <row r="17" customFormat="false" ht="15" hidden="false" customHeight="false" outlineLevel="0" collapsed="false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</row>
    <row r="18" customFormat="false" ht="15" hidden="false" customHeight="false" outlineLevel="0" collapsed="false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</row>
    <row r="19" customFormat="false" ht="15" hidden="false" customHeight="false" outlineLevel="0" collapsed="false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</row>
    <row r="20" customFormat="false" ht="15" hidden="false" customHeight="false" outlineLevel="0" collapsed="false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</row>
    <row r="21" customFormat="false" ht="15" hidden="false" customHeight="false" outlineLevel="0" collapsed="false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</row>
    <row r="22" customFormat="false" ht="15" hidden="false" customHeight="false" outlineLevel="0" collapsed="false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</row>
    <row r="23" customFormat="false" ht="15" hidden="false" customHeight="false" outlineLevel="0" collapsed="false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</row>
    <row r="24" customFormat="false" ht="15" hidden="false" customHeight="false" outlineLevel="0" collapsed="false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</row>
    <row r="25" customFormat="false" ht="15" hidden="false" customHeight="false" outlineLevel="0" collapsed="false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</row>
    <row r="26" customFormat="false" ht="15" hidden="false" customHeight="false" outlineLevel="0" collapsed="false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</row>
    <row r="27" customFormat="false" ht="15" hidden="false" customHeight="false" outlineLevel="0" collapsed="false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</row>
    <row r="28" customFormat="false" ht="15" hidden="false" customHeight="false" outlineLevel="0" collapsed="false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</row>
    <row r="29" customFormat="false" ht="15" hidden="false" customHeight="false" outlineLevel="0" collapsed="false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</row>
    <row r="30" customFormat="false" ht="15" hidden="false" customHeight="false" outlineLevel="0" collapsed="false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</row>
    <row r="31" customFormat="false" ht="15" hidden="false" customHeight="false" outlineLevel="0" collapsed="false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</row>
    <row r="32" customFormat="false" ht="15" hidden="false" customHeight="false" outlineLevel="0" collapsed="false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</row>
    <row r="33" customFormat="false" ht="15" hidden="false" customHeight="false" outlineLevel="0" collapsed="false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</row>
    <row r="34" customFormat="false" ht="15" hidden="false" customHeight="false" outlineLevel="0" collapsed="false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</row>
    <row r="35" customFormat="false" ht="15" hidden="false" customHeight="false" outlineLevel="0" collapsed="false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</row>
    <row r="36" customFormat="false" ht="15" hidden="false" customHeight="false" outlineLevel="0" collapsed="false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</row>
    <row r="37" customFormat="false" ht="15" hidden="false" customHeight="false" outlineLevel="0" collapsed="false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</row>
  </sheetData>
  <conditionalFormatting sqref="M5:M37">
    <cfRule type="cellIs" priority="2" operator="equal" aboveAverage="0" equalAverage="0" bottom="0" percent="0" rank="0" text="" dxfId="3">
      <formula>"Pass"</formula>
    </cfRule>
    <cfRule type="cellIs" priority="3" operator="equal" aboveAverage="0" equalAverage="0" bottom="0" percent="0" rank="0" text="" dxfId="4">
      <formula>"Fail"</formula>
    </cfRule>
    <cfRule type="cellIs" priority="4" operator="equal" aboveAverage="0" equalAverage="0" bottom="0" percent="0" rank="0" text="" dxfId="7">
      <formula>"Pending"</formula>
    </cfRule>
  </conditionalFormatting>
  <dataValidations count="5">
    <dataValidation allowBlank="true" errorStyle="stop" operator="between" showDropDown="false" showErrorMessage="false" showInputMessage="false" sqref="D5:D37" type="list">
      <formula1>"R1,R2,R3,R4,Take-Home,Final,Reference Check"</formula1>
      <formula2>0</formula2>
    </dataValidation>
    <dataValidation allowBlank="true" errorStyle="stop" operator="between" showDropDown="false" showErrorMessage="false" showInputMessage="false" sqref="M5:M37" type="list">
      <formula1>"Pass,Fail,Pending,Withdrew"</formula1>
      <formula2>0</formula2>
    </dataValidation>
    <dataValidation allowBlank="true" errorStyle="stop" operator="between" showDropDown="false" showErrorMessage="false" showInputMessage="false" sqref="N5:N37" type="list">
      <formula1>"High,Medium,Low"</formula1>
      <formula2>0</formula2>
    </dataValidation>
    <dataValidation allowBlank="true" errorStyle="stop" operator="between" showDropDown="false" showErrorMessage="false" showInputMessage="false" sqref="L5:L37" type="list">
      <formula1>"Phone,Video,In-Person,Async (recorded),Take-Home"</formula1>
      <formula2>0</formula2>
    </dataValidation>
    <dataValidation allowBlank="true" errorStyle="stop" operator="between" showDropDown="false" showErrorMessage="false" showInputMessage="false" sqref="S5:T37" type="list">
      <formula1>"Yes,No,N/A"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8"/>
    <col collapsed="false" customWidth="true" hidden="false" outlineLevel="0" max="3" min="3" style="0" width="16"/>
    <col collapsed="false" customWidth="true" hidden="false" outlineLevel="0" max="4" min="4" style="0" width="36"/>
    <col collapsed="false" customWidth="true" hidden="false" outlineLevel="0" max="5" min="5" style="0" width="30"/>
    <col collapsed="false" customWidth="true" hidden="false" outlineLevel="0" max="6" min="6" style="0" width="38"/>
    <col collapsed="false" customWidth="true" hidden="false" outlineLevel="0" max="8" min="7" style="0" width="28"/>
    <col collapsed="false" customWidth="true" hidden="false" outlineLevel="0" max="9" min="9" style="0" width="26"/>
    <col collapsed="false" customWidth="true" hidden="false" outlineLevel="0" max="10" min="10" style="0" width="11"/>
    <col collapsed="false" customWidth="true" hidden="false" outlineLevel="0" max="12" min="11" style="0" width="13"/>
  </cols>
  <sheetData>
    <row r="1" customFormat="false" ht="27.75" hidden="false" customHeight="true" outlineLevel="0" collapsed="false">
      <c r="A1" s="1" t="s">
        <v>171</v>
      </c>
    </row>
    <row r="2" customFormat="false" ht="15" hidden="false" customHeight="false" outlineLevel="0" collapsed="false">
      <c r="A2" s="2" t="s">
        <v>172</v>
      </c>
    </row>
    <row r="4" customFormat="false" ht="27.75" hidden="false" customHeight="true" outlineLevel="0" collapsed="false">
      <c r="A4" s="10" t="s">
        <v>173</v>
      </c>
      <c r="B4" s="10" t="s">
        <v>174</v>
      </c>
      <c r="C4" s="10" t="s">
        <v>175</v>
      </c>
      <c r="D4" s="10" t="s">
        <v>176</v>
      </c>
      <c r="E4" s="10" t="s">
        <v>177</v>
      </c>
      <c r="F4" s="10" t="s">
        <v>178</v>
      </c>
      <c r="G4" s="10" t="s">
        <v>179</v>
      </c>
      <c r="H4" s="10" t="s">
        <v>180</v>
      </c>
      <c r="I4" s="10" t="s">
        <v>181</v>
      </c>
      <c r="J4" s="10" t="s">
        <v>182</v>
      </c>
      <c r="K4" s="10" t="s">
        <v>183</v>
      </c>
      <c r="L4" s="10" t="s">
        <v>184</v>
      </c>
    </row>
    <row r="5" customFormat="false" ht="109.5" hidden="false" customHeight="true" outlineLevel="0" collapsed="false">
      <c r="A5" s="14" t="s">
        <v>185</v>
      </c>
      <c r="B5" s="14" t="s">
        <v>186</v>
      </c>
      <c r="C5" s="14" t="s">
        <v>187</v>
      </c>
      <c r="D5" s="14" t="s">
        <v>188</v>
      </c>
      <c r="E5" s="14" t="s">
        <v>189</v>
      </c>
      <c r="F5" s="14" t="s">
        <v>190</v>
      </c>
      <c r="G5" s="14" t="s">
        <v>191</v>
      </c>
      <c r="H5" s="14" t="s">
        <v>192</v>
      </c>
      <c r="I5" s="14" t="s">
        <v>193</v>
      </c>
      <c r="J5" s="14" t="n">
        <v>2</v>
      </c>
      <c r="K5" s="14" t="n">
        <v>5</v>
      </c>
      <c r="L5" s="14" t="s">
        <v>55</v>
      </c>
    </row>
    <row r="6" customFormat="false" ht="109.5" hidden="false" customHeight="true" outlineLevel="0" collapsed="false">
      <c r="A6" s="14" t="s">
        <v>194</v>
      </c>
      <c r="B6" s="14" t="s">
        <v>195</v>
      </c>
      <c r="C6" s="14" t="s">
        <v>196</v>
      </c>
      <c r="D6" s="14" t="s">
        <v>197</v>
      </c>
      <c r="E6" s="14" t="s">
        <v>198</v>
      </c>
      <c r="F6" s="14" t="s">
        <v>199</v>
      </c>
      <c r="G6" s="14" t="s">
        <v>200</v>
      </c>
      <c r="H6" s="14" t="s">
        <v>201</v>
      </c>
      <c r="I6" s="14" t="s">
        <v>202</v>
      </c>
      <c r="J6" s="14" t="n">
        <v>1</v>
      </c>
      <c r="K6" s="14" t="n">
        <v>4</v>
      </c>
      <c r="L6" s="14" t="s">
        <v>55</v>
      </c>
    </row>
    <row r="7" customFormat="false" ht="109.5" hidden="false" customHeight="true" outlineLevel="0" collapsed="false">
      <c r="A7" s="14" t="s">
        <v>203</v>
      </c>
      <c r="B7" s="14" t="s">
        <v>204</v>
      </c>
      <c r="C7" s="14" t="s">
        <v>205</v>
      </c>
      <c r="D7" s="14" t="s">
        <v>206</v>
      </c>
      <c r="E7" s="14" t="s">
        <v>207</v>
      </c>
      <c r="F7" s="14" t="s">
        <v>208</v>
      </c>
      <c r="G7" s="14" t="s">
        <v>209</v>
      </c>
      <c r="H7" s="14" t="s">
        <v>210</v>
      </c>
      <c r="I7" s="14" t="s">
        <v>211</v>
      </c>
      <c r="J7" s="14" t="n">
        <v>1</v>
      </c>
      <c r="K7" s="14" t="n">
        <v>5</v>
      </c>
      <c r="L7" s="14" t="s">
        <v>55</v>
      </c>
    </row>
    <row r="8" customFormat="false" ht="109.5" hidden="false" customHeight="true" outlineLevel="0" collapsed="false">
      <c r="A8" s="14" t="s">
        <v>212</v>
      </c>
      <c r="B8" s="14" t="s">
        <v>213</v>
      </c>
      <c r="C8" s="14" t="s">
        <v>214</v>
      </c>
      <c r="D8" s="14" t="s">
        <v>215</v>
      </c>
      <c r="E8" s="14" t="s">
        <v>216</v>
      </c>
      <c r="F8" s="14" t="s">
        <v>217</v>
      </c>
      <c r="G8" s="14" t="s">
        <v>218</v>
      </c>
      <c r="H8" s="14" t="s">
        <v>219</v>
      </c>
      <c r="I8" s="14" t="s">
        <v>220</v>
      </c>
      <c r="J8" s="14" t="n">
        <v>1</v>
      </c>
      <c r="K8" s="14" t="n">
        <v>4</v>
      </c>
      <c r="L8" s="14" t="s">
        <v>55</v>
      </c>
    </row>
    <row r="9" customFormat="false" ht="15" hidden="false" customHeight="false" outlineLevel="0" collapsed="false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</row>
    <row r="10" customFormat="false" ht="15" hidden="false" customHeight="false" outlineLevel="0" collapsed="false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</row>
    <row r="11" customFormat="false" ht="15" hidden="false" customHeight="false" outlineLevel="0" collapsed="false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</row>
    <row r="12" customFormat="false" ht="15" hidden="false" customHeight="false" outlineLevel="0" collapsed="false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</row>
    <row r="13" customFormat="false" ht="15" hidden="false" customHeight="false" outlineLevel="0" collapsed="false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</row>
    <row r="14" customFormat="false" ht="15" hidden="false" customHeight="false" outlineLevel="0" collapsed="false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</row>
    <row r="15" customFormat="false" ht="15" hidden="false" customHeight="false" outlineLevel="0" collapsed="false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</row>
    <row r="16" customFormat="false" ht="15" hidden="false" customHeight="false" outlineLevel="0" collapsed="false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</row>
  </sheetData>
  <dataValidations count="1">
    <dataValidation allowBlank="true" errorStyle="stop" operator="between" showDropDown="false" showErrorMessage="false" showInputMessage="false" sqref="K5:K16" type="list">
      <formula1>"1,2,3,4,5"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60"/>
    <col collapsed="false" customWidth="true" hidden="false" outlineLevel="0" max="3" min="3" style="0" width="22"/>
  </cols>
  <sheetData>
    <row r="1" customFormat="false" ht="27.75" hidden="false" customHeight="true" outlineLevel="0" collapsed="false">
      <c r="A1" s="1" t="s">
        <v>221</v>
      </c>
    </row>
    <row r="2" customFormat="false" ht="15" hidden="false" customHeight="false" outlineLevel="0" collapsed="false">
      <c r="A2" s="2" t="s">
        <v>222</v>
      </c>
    </row>
    <row r="4" customFormat="false" ht="27.75" hidden="false" customHeight="true" outlineLevel="0" collapsed="false">
      <c r="A4" s="10" t="s">
        <v>47</v>
      </c>
      <c r="B4" s="10" t="s">
        <v>223</v>
      </c>
      <c r="C4" s="10" t="s">
        <v>224</v>
      </c>
    </row>
    <row r="5" customFormat="false" ht="21.75" hidden="false" customHeight="true" outlineLevel="0" collapsed="false">
      <c r="A5" s="15" t="s">
        <v>108</v>
      </c>
      <c r="B5" s="11" t="s">
        <v>225</v>
      </c>
      <c r="C5" s="16" t="s">
        <v>226</v>
      </c>
    </row>
    <row r="6" customFormat="false" ht="21.75" hidden="false" customHeight="true" outlineLevel="0" collapsed="false">
      <c r="A6" s="17" t="s">
        <v>94</v>
      </c>
      <c r="B6" s="11" t="s">
        <v>227</v>
      </c>
      <c r="C6" s="16" t="s">
        <v>228</v>
      </c>
    </row>
    <row r="7" customFormat="false" ht="21.75" hidden="false" customHeight="true" outlineLevel="0" collapsed="false">
      <c r="A7" s="18" t="s">
        <v>229</v>
      </c>
      <c r="B7" s="11" t="s">
        <v>230</v>
      </c>
      <c r="C7" s="16" t="s">
        <v>231</v>
      </c>
    </row>
    <row r="8" customFormat="false" ht="21.75" hidden="false" customHeight="true" outlineLevel="0" collapsed="false">
      <c r="A8" s="18" t="s">
        <v>66</v>
      </c>
      <c r="B8" s="11" t="s">
        <v>232</v>
      </c>
      <c r="C8" s="16" t="s">
        <v>231</v>
      </c>
    </row>
    <row r="9" customFormat="false" ht="21.75" hidden="false" customHeight="true" outlineLevel="0" collapsed="false">
      <c r="A9" s="18" t="s">
        <v>81</v>
      </c>
      <c r="B9" s="11" t="s">
        <v>233</v>
      </c>
      <c r="C9" s="16" t="s">
        <v>231</v>
      </c>
    </row>
    <row r="10" customFormat="false" ht="21.75" hidden="false" customHeight="true" outlineLevel="0" collapsed="false">
      <c r="A10" s="18" t="s">
        <v>234</v>
      </c>
      <c r="B10" s="11" t="s">
        <v>235</v>
      </c>
      <c r="C10" s="16" t="s">
        <v>231</v>
      </c>
    </row>
    <row r="11" customFormat="false" ht="21.75" hidden="false" customHeight="true" outlineLevel="0" collapsed="false">
      <c r="A11" s="18" t="s">
        <v>236</v>
      </c>
      <c r="B11" s="11" t="s">
        <v>237</v>
      </c>
      <c r="C11" s="16" t="s">
        <v>231</v>
      </c>
    </row>
    <row r="12" customFormat="false" ht="21.75" hidden="false" customHeight="true" outlineLevel="0" collapsed="false">
      <c r="A12" s="18" t="s">
        <v>238</v>
      </c>
      <c r="B12" s="11" t="s">
        <v>239</v>
      </c>
      <c r="C12" s="16" t="s">
        <v>231</v>
      </c>
    </row>
    <row r="13" customFormat="false" ht="21.75" hidden="false" customHeight="true" outlineLevel="0" collapsed="false">
      <c r="A13" s="19" t="s">
        <v>240</v>
      </c>
      <c r="B13" s="11" t="s">
        <v>241</v>
      </c>
      <c r="C13" s="16" t="s">
        <v>242</v>
      </c>
    </row>
    <row r="14" customFormat="false" ht="21.75" hidden="false" customHeight="true" outlineLevel="0" collapsed="false">
      <c r="A14" s="19" t="s">
        <v>243</v>
      </c>
      <c r="B14" s="11" t="s">
        <v>244</v>
      </c>
      <c r="C14" s="16" t="s">
        <v>242</v>
      </c>
    </row>
    <row r="15" customFormat="false" ht="21.75" hidden="false" customHeight="true" outlineLevel="0" collapsed="false">
      <c r="A15" s="19" t="s">
        <v>245</v>
      </c>
      <c r="B15" s="11" t="s">
        <v>246</v>
      </c>
      <c r="C15" s="16" t="s">
        <v>242</v>
      </c>
    </row>
    <row r="16" customFormat="false" ht="21.75" hidden="false" customHeight="true" outlineLevel="0" collapsed="false">
      <c r="A16" s="20" t="s">
        <v>247</v>
      </c>
      <c r="B16" s="11" t="s">
        <v>248</v>
      </c>
      <c r="C16" s="16" t="s">
        <v>249</v>
      </c>
    </row>
    <row r="17" customFormat="false" ht="21.75" hidden="false" customHeight="true" outlineLevel="0" collapsed="false">
      <c r="A17" s="21" t="s">
        <v>250</v>
      </c>
      <c r="B17" s="11" t="s">
        <v>251</v>
      </c>
      <c r="C17" s="16" t="s">
        <v>252</v>
      </c>
    </row>
    <row r="18" customFormat="false" ht="21.75" hidden="false" customHeight="true" outlineLevel="0" collapsed="false">
      <c r="A18" s="20" t="s">
        <v>253</v>
      </c>
      <c r="B18" s="11" t="s">
        <v>254</v>
      </c>
      <c r="C18" s="16" t="s">
        <v>249</v>
      </c>
    </row>
    <row r="19" customFormat="false" ht="21.75" hidden="false" customHeight="true" outlineLevel="0" collapsed="false">
      <c r="A19" s="21" t="s">
        <v>255</v>
      </c>
      <c r="B19" s="11" t="s">
        <v>256</v>
      </c>
      <c r="C19" s="16" t="s">
        <v>252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8"/>
    <col collapsed="false" customWidth="true" hidden="false" outlineLevel="0" max="3" min="3" style="0" width="14"/>
    <col collapsed="false" customWidth="true" hidden="false" outlineLevel="0" max="4" min="4" style="0" width="24"/>
    <col collapsed="false" customWidth="true" hidden="false" outlineLevel="0" max="5" min="5" style="0" width="18"/>
    <col collapsed="false" customWidth="true" hidden="false" outlineLevel="0" max="6" min="6" style="0" width="11"/>
    <col collapsed="false" customWidth="true" hidden="false" outlineLevel="0" max="7" min="7" style="0" width="60"/>
  </cols>
  <sheetData>
    <row r="1" customFormat="false" ht="27.75" hidden="false" customHeight="true" outlineLevel="0" collapsed="false">
      <c r="A1" s="1" t="s">
        <v>257</v>
      </c>
    </row>
    <row r="2" customFormat="false" ht="15" hidden="false" customHeight="false" outlineLevel="0" collapsed="false">
      <c r="A2" s="2" t="s">
        <v>258</v>
      </c>
    </row>
    <row r="4" customFormat="false" ht="27.75" hidden="false" customHeight="true" outlineLevel="0" collapsed="false">
      <c r="A4" s="10" t="s">
        <v>40</v>
      </c>
      <c r="B4" s="10" t="s">
        <v>259</v>
      </c>
      <c r="C4" s="10" t="s">
        <v>260</v>
      </c>
      <c r="D4" s="10" t="s">
        <v>261</v>
      </c>
      <c r="E4" s="10" t="s">
        <v>262</v>
      </c>
      <c r="F4" s="10" t="s">
        <v>47</v>
      </c>
      <c r="G4" s="10" t="s">
        <v>53</v>
      </c>
    </row>
    <row r="5" customFormat="false" ht="15" hidden="false" customHeight="false" outlineLevel="0" collapsed="false">
      <c r="A5" s="14" t="s">
        <v>60</v>
      </c>
      <c r="B5" s="14" t="s">
        <v>263</v>
      </c>
      <c r="C5" s="14" t="s">
        <v>264</v>
      </c>
      <c r="D5" s="14" t="s">
        <v>265</v>
      </c>
      <c r="E5" s="14" t="s">
        <v>266</v>
      </c>
      <c r="F5" s="22" t="s">
        <v>267</v>
      </c>
      <c r="G5" s="14" t="s">
        <v>268</v>
      </c>
    </row>
    <row r="6" customFormat="false" ht="28.35" hidden="false" customHeight="false" outlineLevel="0" collapsed="false">
      <c r="A6" s="14" t="s">
        <v>269</v>
      </c>
      <c r="B6" s="14" t="s">
        <v>270</v>
      </c>
      <c r="C6" s="14" t="s">
        <v>271</v>
      </c>
      <c r="D6" s="14" t="s">
        <v>265</v>
      </c>
      <c r="E6" s="14" t="s">
        <v>266</v>
      </c>
      <c r="F6" s="23" t="s">
        <v>272</v>
      </c>
      <c r="G6" s="14" t="s">
        <v>273</v>
      </c>
    </row>
    <row r="7" customFormat="false" ht="15" hidden="false" customHeight="false" outlineLevel="0" collapsed="false">
      <c r="A7" s="14" t="s">
        <v>274</v>
      </c>
      <c r="B7" s="14" t="s">
        <v>275</v>
      </c>
      <c r="C7" s="14" t="s">
        <v>271</v>
      </c>
      <c r="D7" s="14" t="s">
        <v>265</v>
      </c>
      <c r="E7" s="14" t="s">
        <v>266</v>
      </c>
      <c r="F7" s="24" t="s">
        <v>276</v>
      </c>
      <c r="G7" s="14" t="s">
        <v>277</v>
      </c>
    </row>
    <row r="8" customFormat="false" ht="28.35" hidden="false" customHeight="false" outlineLevel="0" collapsed="false">
      <c r="A8" s="14" t="s">
        <v>278</v>
      </c>
      <c r="B8" s="14" t="s">
        <v>279</v>
      </c>
      <c r="C8" s="14" t="s">
        <v>271</v>
      </c>
      <c r="D8" s="14" t="s">
        <v>265</v>
      </c>
      <c r="E8" s="14" t="s">
        <v>266</v>
      </c>
      <c r="F8" s="24" t="s">
        <v>276</v>
      </c>
      <c r="G8" s="14" t="s">
        <v>280</v>
      </c>
    </row>
    <row r="9" customFormat="false" ht="15" hidden="false" customHeight="false" outlineLevel="0" collapsed="false">
      <c r="A9" s="14" t="s">
        <v>281</v>
      </c>
      <c r="B9" s="14" t="s">
        <v>282</v>
      </c>
      <c r="C9" s="14" t="s">
        <v>271</v>
      </c>
      <c r="D9" s="14" t="s">
        <v>265</v>
      </c>
      <c r="E9" s="14" t="s">
        <v>266</v>
      </c>
      <c r="F9" s="24" t="s">
        <v>276</v>
      </c>
      <c r="G9" s="14" t="s">
        <v>283</v>
      </c>
    </row>
    <row r="10" customFormat="false" ht="15" hidden="false" customHeight="false" outlineLevel="0" collapsed="false">
      <c r="A10" s="14" t="s">
        <v>284</v>
      </c>
      <c r="B10" s="14" t="s">
        <v>285</v>
      </c>
      <c r="C10" s="14" t="s">
        <v>264</v>
      </c>
      <c r="D10" s="14" t="s">
        <v>265</v>
      </c>
      <c r="E10" s="14" t="s">
        <v>266</v>
      </c>
      <c r="F10" s="24" t="s">
        <v>276</v>
      </c>
      <c r="G10" s="14"/>
    </row>
    <row r="11" customFormat="false" ht="15" hidden="false" customHeight="false" outlineLevel="0" collapsed="false">
      <c r="A11" s="14" t="s">
        <v>286</v>
      </c>
      <c r="B11" s="14" t="s">
        <v>287</v>
      </c>
      <c r="C11" s="14" t="s">
        <v>264</v>
      </c>
      <c r="D11" s="14" t="s">
        <v>265</v>
      </c>
      <c r="E11" s="14" t="s">
        <v>266</v>
      </c>
      <c r="F11" s="24" t="s">
        <v>276</v>
      </c>
      <c r="G11" s="14"/>
    </row>
    <row r="12" customFormat="false" ht="15" hidden="false" customHeight="false" outlineLevel="0" collapsed="false">
      <c r="A12" s="14" t="s">
        <v>288</v>
      </c>
      <c r="B12" s="14" t="s">
        <v>289</v>
      </c>
      <c r="C12" s="14" t="s">
        <v>264</v>
      </c>
      <c r="D12" s="14" t="s">
        <v>265</v>
      </c>
      <c r="E12" s="14" t="s">
        <v>266</v>
      </c>
      <c r="F12" s="24" t="s">
        <v>276</v>
      </c>
      <c r="G12" s="14" t="s">
        <v>290</v>
      </c>
    </row>
    <row r="13" customFormat="false" ht="15" hidden="false" customHeight="false" outlineLevel="0" collapsed="false">
      <c r="A13" s="14" t="s">
        <v>291</v>
      </c>
      <c r="B13" s="14" t="s">
        <v>292</v>
      </c>
      <c r="C13" s="14" t="s">
        <v>293</v>
      </c>
      <c r="D13" s="14" t="s">
        <v>293</v>
      </c>
      <c r="E13" s="14" t="s">
        <v>266</v>
      </c>
      <c r="F13" s="24" t="s">
        <v>276</v>
      </c>
      <c r="G13" s="14" t="s">
        <v>294</v>
      </c>
    </row>
    <row r="14" customFormat="false" ht="15" hidden="false" customHeight="false" outlineLevel="0" collapsed="false">
      <c r="A14" s="14" t="s">
        <v>295</v>
      </c>
      <c r="B14" s="14" t="s">
        <v>296</v>
      </c>
      <c r="C14" s="14" t="s">
        <v>293</v>
      </c>
      <c r="D14" s="14" t="s">
        <v>293</v>
      </c>
      <c r="E14" s="14" t="s">
        <v>266</v>
      </c>
      <c r="F14" s="24" t="s">
        <v>276</v>
      </c>
      <c r="G14" s="14" t="s">
        <v>297</v>
      </c>
    </row>
    <row r="15" customFormat="false" ht="28.35" hidden="false" customHeight="false" outlineLevel="0" collapsed="false">
      <c r="A15" s="14" t="s">
        <v>298</v>
      </c>
      <c r="B15" s="14" t="s">
        <v>299</v>
      </c>
      <c r="C15" s="14" t="s">
        <v>293</v>
      </c>
      <c r="D15" s="14" t="s">
        <v>293</v>
      </c>
      <c r="E15" s="14" t="s">
        <v>266</v>
      </c>
      <c r="F15" s="24" t="s">
        <v>276</v>
      </c>
      <c r="G15" s="14" t="s">
        <v>300</v>
      </c>
    </row>
    <row r="16" customFormat="false" ht="15" hidden="false" customHeight="false" outlineLevel="0" collapsed="false">
      <c r="A16" s="14" t="s">
        <v>301</v>
      </c>
      <c r="B16" s="14" t="s">
        <v>302</v>
      </c>
      <c r="C16" s="14" t="s">
        <v>303</v>
      </c>
      <c r="D16" s="14" t="s">
        <v>304</v>
      </c>
      <c r="E16" s="14" t="s">
        <v>305</v>
      </c>
      <c r="F16" s="24" t="s">
        <v>276</v>
      </c>
      <c r="G16" s="14"/>
    </row>
    <row r="17" customFormat="false" ht="15" hidden="false" customHeight="false" outlineLevel="0" collapsed="false">
      <c r="A17" s="14" t="s">
        <v>306</v>
      </c>
      <c r="B17" s="14" t="s">
        <v>307</v>
      </c>
      <c r="C17" s="14" t="s">
        <v>303</v>
      </c>
      <c r="D17" s="14" t="s">
        <v>304</v>
      </c>
      <c r="E17" s="14" t="s">
        <v>308</v>
      </c>
      <c r="F17" s="24" t="s">
        <v>276</v>
      </c>
      <c r="G17" s="14"/>
    </row>
    <row r="18" customFormat="false" ht="15" hidden="false" customHeight="false" outlineLevel="0" collapsed="false">
      <c r="A18" s="14" t="s">
        <v>309</v>
      </c>
      <c r="B18" s="14" t="s">
        <v>310</v>
      </c>
      <c r="C18" s="14" t="s">
        <v>303</v>
      </c>
      <c r="D18" s="14" t="s">
        <v>304</v>
      </c>
      <c r="E18" s="14" t="s">
        <v>308</v>
      </c>
      <c r="F18" s="24" t="s">
        <v>276</v>
      </c>
      <c r="G18" s="14"/>
    </row>
    <row r="19" customFormat="false" ht="15" hidden="false" customHeight="false" outlineLevel="0" collapsed="false">
      <c r="A19" s="14" t="s">
        <v>311</v>
      </c>
      <c r="B19" s="14" t="s">
        <v>312</v>
      </c>
      <c r="C19" s="14" t="s">
        <v>303</v>
      </c>
      <c r="D19" s="14" t="s">
        <v>304</v>
      </c>
      <c r="E19" s="14" t="s">
        <v>305</v>
      </c>
      <c r="F19" s="24" t="s">
        <v>276</v>
      </c>
      <c r="G19" s="14"/>
    </row>
    <row r="20" customFormat="false" ht="15" hidden="false" customHeight="false" outlineLevel="0" collapsed="false">
      <c r="A20" s="14" t="s">
        <v>313</v>
      </c>
      <c r="B20" s="14" t="s">
        <v>314</v>
      </c>
      <c r="C20" s="14" t="s">
        <v>303</v>
      </c>
      <c r="D20" s="14" t="s">
        <v>304</v>
      </c>
      <c r="E20" s="14" t="s">
        <v>308</v>
      </c>
      <c r="F20" s="24" t="s">
        <v>276</v>
      </c>
      <c r="G20" s="14"/>
    </row>
    <row r="21" customFormat="false" ht="15" hidden="false" customHeight="false" outlineLevel="0" collapsed="false">
      <c r="A21" s="14" t="s">
        <v>315</v>
      </c>
      <c r="B21" s="14" t="s">
        <v>316</v>
      </c>
      <c r="C21" s="14" t="s">
        <v>303</v>
      </c>
      <c r="D21" s="14" t="s">
        <v>304</v>
      </c>
      <c r="E21" s="14" t="s">
        <v>305</v>
      </c>
      <c r="F21" s="24" t="s">
        <v>276</v>
      </c>
      <c r="G21" s="14"/>
    </row>
    <row r="22" customFormat="false" ht="15" hidden="false" customHeight="false" outlineLevel="0" collapsed="false">
      <c r="A22" s="14" t="s">
        <v>317</v>
      </c>
      <c r="B22" s="14" t="s">
        <v>318</v>
      </c>
      <c r="C22" s="14" t="s">
        <v>303</v>
      </c>
      <c r="D22" s="14" t="s">
        <v>304</v>
      </c>
      <c r="E22" s="14" t="s">
        <v>308</v>
      </c>
      <c r="F22" s="24" t="s">
        <v>276</v>
      </c>
      <c r="G22" s="14"/>
    </row>
    <row r="23" customFormat="false" ht="15" hidden="false" customHeight="false" outlineLevel="0" collapsed="false">
      <c r="A23" s="14" t="s">
        <v>319</v>
      </c>
      <c r="B23" s="14" t="s">
        <v>320</v>
      </c>
      <c r="C23" s="14" t="s">
        <v>303</v>
      </c>
      <c r="D23" s="14" t="s">
        <v>304</v>
      </c>
      <c r="E23" s="14" t="s">
        <v>305</v>
      </c>
      <c r="F23" s="24" t="s">
        <v>276</v>
      </c>
      <c r="G23" s="14"/>
    </row>
    <row r="24" customFormat="false" ht="15" hidden="false" customHeight="false" outlineLevel="0" collapsed="false">
      <c r="A24" s="14" t="s">
        <v>321</v>
      </c>
      <c r="B24" s="14" t="s">
        <v>322</v>
      </c>
      <c r="C24" s="14" t="s">
        <v>303</v>
      </c>
      <c r="D24" s="14" t="s">
        <v>265</v>
      </c>
      <c r="E24" s="14" t="s">
        <v>305</v>
      </c>
      <c r="F24" s="24" t="s">
        <v>276</v>
      </c>
      <c r="G24" s="14"/>
    </row>
    <row r="25" customFormat="false" ht="15" hidden="false" customHeight="false" outlineLevel="0" collapsed="false">
      <c r="A25" s="14" t="s">
        <v>323</v>
      </c>
      <c r="B25" s="14" t="s">
        <v>324</v>
      </c>
      <c r="C25" s="14" t="s">
        <v>325</v>
      </c>
      <c r="D25" s="14" t="s">
        <v>304</v>
      </c>
      <c r="E25" s="14" t="s">
        <v>326</v>
      </c>
      <c r="F25" s="24" t="s">
        <v>276</v>
      </c>
      <c r="G25" s="14"/>
    </row>
    <row r="26" customFormat="false" ht="28.35" hidden="false" customHeight="false" outlineLevel="0" collapsed="false">
      <c r="A26" s="14" t="s">
        <v>327</v>
      </c>
      <c r="B26" s="14" t="s">
        <v>328</v>
      </c>
      <c r="C26" s="14" t="s">
        <v>325</v>
      </c>
      <c r="D26" s="14" t="s">
        <v>304</v>
      </c>
      <c r="E26" s="14" t="s">
        <v>329</v>
      </c>
      <c r="F26" s="24" t="s">
        <v>276</v>
      </c>
      <c r="G26" s="14"/>
    </row>
    <row r="27" customFormat="false" ht="28.35" hidden="false" customHeight="false" outlineLevel="0" collapsed="false">
      <c r="A27" s="14" t="s">
        <v>330</v>
      </c>
      <c r="B27" s="14" t="s">
        <v>331</v>
      </c>
      <c r="C27" s="14" t="s">
        <v>325</v>
      </c>
      <c r="D27" s="14" t="s">
        <v>304</v>
      </c>
      <c r="E27" s="14" t="s">
        <v>329</v>
      </c>
      <c r="F27" s="24" t="s">
        <v>276</v>
      </c>
      <c r="G27" s="14" t="s">
        <v>332</v>
      </c>
    </row>
    <row r="28" customFormat="false" ht="15" hidden="false" customHeight="false" outlineLevel="0" collapsed="false">
      <c r="A28" s="14" t="s">
        <v>333</v>
      </c>
      <c r="B28" s="14" t="s">
        <v>334</v>
      </c>
      <c r="C28" s="14" t="s">
        <v>335</v>
      </c>
      <c r="D28" s="14" t="s">
        <v>336</v>
      </c>
      <c r="E28" s="14" t="s">
        <v>266</v>
      </c>
      <c r="F28" s="24" t="s">
        <v>276</v>
      </c>
      <c r="G28" s="14" t="s">
        <v>337</v>
      </c>
    </row>
    <row r="29" customFormat="false" ht="15" hidden="false" customHeight="false" outlineLevel="0" collapsed="false">
      <c r="A29" s="14" t="s">
        <v>338</v>
      </c>
      <c r="B29" s="14" t="s">
        <v>339</v>
      </c>
      <c r="C29" s="14" t="s">
        <v>335</v>
      </c>
      <c r="D29" s="14" t="s">
        <v>340</v>
      </c>
      <c r="E29" s="14" t="s">
        <v>266</v>
      </c>
      <c r="F29" s="24" t="s">
        <v>276</v>
      </c>
      <c r="G29" s="14"/>
    </row>
    <row r="30" customFormat="false" ht="15" hidden="false" customHeight="false" outlineLevel="0" collapsed="false">
      <c r="A30" s="14" t="s">
        <v>341</v>
      </c>
      <c r="B30" s="14" t="s">
        <v>342</v>
      </c>
      <c r="C30" s="14" t="s">
        <v>335</v>
      </c>
      <c r="D30" s="14" t="s">
        <v>59</v>
      </c>
      <c r="E30" s="14" t="s">
        <v>266</v>
      </c>
      <c r="F30" s="24" t="s">
        <v>276</v>
      </c>
      <c r="G30" s="14"/>
    </row>
    <row r="31" customFormat="false" ht="15" hidden="false" customHeight="false" outlineLevel="0" collapsed="false">
      <c r="A31" s="14" t="s">
        <v>343</v>
      </c>
      <c r="B31" s="14" t="s">
        <v>344</v>
      </c>
      <c r="C31" s="14" t="s">
        <v>335</v>
      </c>
      <c r="D31" s="14" t="s">
        <v>59</v>
      </c>
      <c r="E31" s="14" t="s">
        <v>266</v>
      </c>
      <c r="F31" s="24" t="s">
        <v>276</v>
      </c>
      <c r="G31" s="14"/>
    </row>
    <row r="32" customFormat="false" ht="15" hidden="false" customHeight="false" outlineLevel="0" collapsed="false">
      <c r="A32" s="14" t="s">
        <v>345</v>
      </c>
      <c r="B32" s="14" t="s">
        <v>346</v>
      </c>
      <c r="C32" s="14" t="s">
        <v>335</v>
      </c>
      <c r="D32" s="14" t="s">
        <v>59</v>
      </c>
      <c r="E32" s="14" t="s">
        <v>266</v>
      </c>
      <c r="F32" s="24" t="s">
        <v>276</v>
      </c>
      <c r="G32" s="14" t="s">
        <v>347</v>
      </c>
    </row>
    <row r="33" customFormat="false" ht="15" hidden="false" customHeight="false" outlineLevel="0" collapsed="false">
      <c r="A33" s="14" t="s">
        <v>348</v>
      </c>
      <c r="B33" s="14" t="s">
        <v>349</v>
      </c>
      <c r="C33" s="14" t="s">
        <v>335</v>
      </c>
      <c r="D33" s="14" t="s">
        <v>59</v>
      </c>
      <c r="E33" s="14" t="s">
        <v>266</v>
      </c>
      <c r="F33" s="24" t="s">
        <v>276</v>
      </c>
      <c r="G33" s="14"/>
    </row>
    <row r="34" customFormat="false" ht="15" hidden="false" customHeight="false" outlineLevel="0" collapsed="false">
      <c r="A34" s="14" t="s">
        <v>350</v>
      </c>
      <c r="B34" s="14" t="s">
        <v>351</v>
      </c>
      <c r="C34" s="14" t="s">
        <v>335</v>
      </c>
      <c r="D34" s="14" t="s">
        <v>59</v>
      </c>
      <c r="E34" s="14" t="s">
        <v>266</v>
      </c>
      <c r="F34" s="24" t="s">
        <v>276</v>
      </c>
      <c r="G34" s="14"/>
    </row>
    <row r="35" customFormat="false" ht="15" hidden="false" customHeight="false" outlineLevel="0" collapsed="false">
      <c r="A35" s="14" t="s">
        <v>352</v>
      </c>
      <c r="B35" s="14" t="s">
        <v>353</v>
      </c>
      <c r="C35" s="14" t="s">
        <v>335</v>
      </c>
      <c r="D35" s="14" t="s">
        <v>59</v>
      </c>
      <c r="E35" s="14" t="s">
        <v>266</v>
      </c>
      <c r="F35" s="24" t="s">
        <v>276</v>
      </c>
      <c r="G35" s="14"/>
    </row>
    <row r="36" customFormat="false" ht="15" hidden="false" customHeight="false" outlineLevel="0" collapsed="false">
      <c r="A36" s="14" t="s">
        <v>354</v>
      </c>
      <c r="B36" s="14" t="s">
        <v>355</v>
      </c>
      <c r="C36" s="14" t="s">
        <v>335</v>
      </c>
      <c r="D36" s="14" t="s">
        <v>59</v>
      </c>
      <c r="E36" s="14" t="s">
        <v>266</v>
      </c>
      <c r="F36" s="24" t="s">
        <v>276</v>
      </c>
      <c r="G36" s="14"/>
    </row>
    <row r="37" customFormat="false" ht="28.35" hidden="false" customHeight="false" outlineLevel="0" collapsed="false">
      <c r="A37" s="14" t="s">
        <v>356</v>
      </c>
      <c r="B37" s="14" t="s">
        <v>357</v>
      </c>
      <c r="C37" s="14" t="s">
        <v>335</v>
      </c>
      <c r="D37" s="14" t="s">
        <v>358</v>
      </c>
      <c r="E37" s="14" t="s">
        <v>266</v>
      </c>
      <c r="F37" s="24" t="s">
        <v>276</v>
      </c>
      <c r="G37" s="14" t="s">
        <v>359</v>
      </c>
    </row>
    <row r="38" customFormat="false" ht="15" hidden="false" customHeight="false" outlineLevel="0" collapsed="false">
      <c r="A38" s="14" t="s">
        <v>360</v>
      </c>
      <c r="B38" s="14" t="s">
        <v>361</v>
      </c>
      <c r="C38" s="14" t="s">
        <v>335</v>
      </c>
      <c r="D38" s="14" t="s">
        <v>59</v>
      </c>
      <c r="E38" s="14" t="s">
        <v>266</v>
      </c>
      <c r="F38" s="24" t="s">
        <v>276</v>
      </c>
      <c r="G38" s="1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2026-05-01T23:22:06Z</dcterms:created>
  <dc:creator>[YOUR NAME]</dc:creator>
  <dc:description>© 2026 [YOUR NAME]. All rights reserved. Original work submitted to the 1000Jobs Final Stage assessment for evaluation only. See LICENSE and NOTICE.md in the source repository.</dc:description>
  <cp:keywords>JobPilot application tracker 1000Jobs copyright reserved</cp:keywords>
  <dc:language>en-US</dc:language>
  <cp:lastModifiedBy>[YOUR NAME]</cp:lastModifiedBy>
  <dcterms:modified xsi:type="dcterms:W3CDTF">2026-05-01T23:22:06Z</dcterms:modified>
  <cp:revision>0</cp:revision>
  <dc:subject>1000Jobs Final Stage submission</dc:subject>
  <dc:title>JobPilot — Application Tracker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